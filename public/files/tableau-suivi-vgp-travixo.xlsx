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20000" firstSheet="0" activeTab="0"/>
  </bookViews>
  <sheets>
    <sheet sheetId="1" name="Mode d'emploi" state="visible" r:id="rId4"/>
    <sheet sheetId="2" name="Suivi VGP" state="visible" r:id="rId5"/>
    <sheet sheetId="3" name="Référentiel VGP" state="visible" r:id="rId6"/>
    <sheet sheetId="4" name="Sources" state="visible" r:id="rId7"/>
  </sheets>
  <calcPr calcId="171027"/>
</workbook>
</file>

<file path=xl/sharedStrings.xml><?xml version="1.0" encoding="utf-8"?>
<sst xmlns="http://schemas.openxmlformats.org/spreadsheetml/2006/main" count="398" uniqueCount="233">
  <si>
    <t>Tableau de suivi des VGP</t>
  </si>
  <si>
    <t>Quatre onglets : ce mode d'emploi, la saisie dans « Suivi VGP », le référentiel de périodicités, et les textes sur lesquels il se fonde.</t>
  </si>
  <si>
    <t>1. Remplissez l'onglet « Suivi VGP »</t>
  </si>
  <si>
    <t>Saisissez une ligne par machine. Seules les colonnes blanches se remplissent à la main.</t>
  </si>
  <si>
    <t>La colonne « Type d'équipement (VGP) » est une liste déroulante : c'est elle qui détermine la périodicité.</t>
  </si>
  <si>
    <t>Renseignez la date de la dernière VGP. Le reste se calcule.</t>
  </si>
  <si>
    <t>1 bis. Trouver son équipement dans la liste</t>
  </si>
  <si>
    <t>L'onglet « Référentiel VGP » reprend l'énumération complète des deux arrêtés, regroupée par famille : appareils de levage, machines mobiles de chantier, machines de production, et hors champ.</t>
  </si>
  <si>
    <t>Filtrez sur la colonne « Famille » pour ne garder que la vôtre. Les machines de production sont reprises pour que le référentiel soit complet, pas parce qu'un parc de travaux publics en détient.</t>
  </si>
  <si>
    <t>2. Les colonnes grisées se calculent seules</t>
  </si>
  <si>
    <t>Périodicité : lue dans l'onglet « Référentiel VGP » à partir du type choisi.</t>
  </si>
  <si>
    <t>Prochaine échéance : date de la dernière VGP décalée de la périodicité.</t>
  </si>
  <si>
    <t>Jours restants et statut : recalculés à chaque ouverture du fichier.</t>
  </si>
  <si>
    <t>3. Les couleurs</t>
  </si>
  <si>
    <t>Rouge, « Dépassée » : l'échéance est passée.</t>
  </si>
  <si>
    <t>Orange, « À planifier » : l'échéance tombe dans les 30 jours.</t>
  </si>
  <si>
    <t>Vert, « À jour ».</t>
  </si>
  <si>
    <t>Gris, « À renseigner » : il manque la date de dernière VGP. Gris, « Hors champ » : l'équipement relève d'un autre régime de vérification.</t>
  </si>
  <si>
    <t>4. Les 18 premières lignes sont des exemples</t>
  </si>
  <si>
    <t>Sélectionnez-les et supprimez leur contenu avant de saisir votre parc. Les formules et la liste déroulante restent en place.</t>
  </si>
  <si>
    <t>Le tableau est préparé jusqu'à la ligne 500. Au-delà, copiez la dernière ligne vers le bas : les formules et la liste déroulante suivent.</t>
  </si>
  <si>
    <t>5. Ce que ce fichier ne fait pas</t>
  </si>
  <si>
    <t>Il ne prévient personne. Un tableur ne relance pas, ne conserve pas les rapports et ne dit pas où se trouve la machine au moment où l'échéance tombe.</t>
  </si>
  <si>
    <t>C'est ce que fait TraviXO : les échéances, les rapports et l'historique reliés à chaque machine, consultables par QR code.</t>
  </si>
  <si>
    <t>https://travixosystems.com/fr/logiciel-vgp</t>
  </si>
  <si>
    <t>Portée</t>
  </si>
  <si>
    <t>Les périodicités de l'onglet « Référentiel VGP » sont sourcées sur les textes cités dans l'onglet « Sources ».</t>
  </si>
  <si>
    <t>Ce fichier ne remplace ni la lecture de ces textes, ni l'avis de la personne qualifiée qui réalise la vérification.</t>
  </si>
  <si>
    <t>Désignation</t>
  </si>
  <si>
    <t>Catégorie parc</t>
  </si>
  <si>
    <t>Marque et modèle</t>
  </si>
  <si>
    <t>N° de série</t>
  </si>
  <si>
    <t>Emplacement</t>
  </si>
  <si>
    <t>Type d'équipement (VGP)</t>
  </si>
  <si>
    <t>Périodicité (mois)</t>
  </si>
  <si>
    <t>Date dernière VGP</t>
  </si>
  <si>
    <t>Prochaine échéance</t>
  </si>
  <si>
    <t>Jours restants</t>
  </si>
  <si>
    <t>Statut</t>
  </si>
  <si>
    <t>Responsabilité</t>
  </si>
  <si>
    <t>Vérificateur</t>
  </si>
  <si>
    <t>Observations</t>
  </si>
  <si>
    <t>Nacelle articulée 16 m</t>
  </si>
  <si>
    <t>Nacelle</t>
  </si>
  <si>
    <t>Haulotte HA16RTJ</t>
  </si>
  <si>
    <t>HA16-4471</t>
  </si>
  <si>
    <t>Dépôt Noisy</t>
  </si>
  <si>
    <t>Nacelle élévatrice (PEMP)</t>
  </si>
  <si>
    <t>Loueur</t>
  </si>
  <si>
    <t>Apave</t>
  </si>
  <si>
    <t>Échéance dépassée, machine immobilisée</t>
  </si>
  <si>
    <t>Nacelle ciseaux 12 m</t>
  </si>
  <si>
    <t>Genie GS-3246</t>
  </si>
  <si>
    <t>GS-11907</t>
  </si>
  <si>
    <t>Dépôt Bobigny</t>
  </si>
  <si>
    <t/>
  </si>
  <si>
    <t>Nacelle télescopique 18 m</t>
  </si>
  <si>
    <t>JLG 460SJ</t>
  </si>
  <si>
    <t>JLG-30288</t>
  </si>
  <si>
    <t>Chantier Saint-Denis</t>
  </si>
  <si>
    <t>Locataire</t>
  </si>
  <si>
    <t>Bureau Veritas</t>
  </si>
  <si>
    <t>Chariot télescopique 4 t</t>
  </si>
  <si>
    <t>Chariot</t>
  </si>
  <si>
    <t>Manitou MT1440</t>
  </si>
  <si>
    <t>MT-220913</t>
  </si>
  <si>
    <t>Chantier Bobigny</t>
  </si>
  <si>
    <t>Chariot élévateur</t>
  </si>
  <si>
    <t>Vérificateur interne</t>
  </si>
  <si>
    <t>En location, retour prévu avant l'échéance</t>
  </si>
  <si>
    <t>Chariot télescopique 4,2 t</t>
  </si>
  <si>
    <t>Merlo P40.17</t>
  </si>
  <si>
    <t>ME-41630</t>
  </si>
  <si>
    <t>Dekra</t>
  </si>
  <si>
    <t>Chariot frontal 2,5 t</t>
  </si>
  <si>
    <t>Toyota 8FG25</t>
  </si>
  <si>
    <t>TY-70255</t>
  </si>
  <si>
    <t>Atelier</t>
  </si>
  <si>
    <t>Interne</t>
  </si>
  <si>
    <t>Contrôle à replanifier</t>
  </si>
  <si>
    <t>Mini-pelle 2,5 t</t>
  </si>
  <si>
    <t>Engin</t>
  </si>
  <si>
    <t>Kubota KX027-4</t>
  </si>
  <si>
    <t>KX-88120</t>
  </si>
  <si>
    <t>Engin de terrassement à conducteur porté (sans levage)</t>
  </si>
  <si>
    <t>Sans équipement de levage</t>
  </si>
  <si>
    <t>Pelle 8 t avec crochet</t>
  </si>
  <si>
    <t>Yanmar SV100</t>
  </si>
  <si>
    <t>SV-33017</t>
  </si>
  <si>
    <t>Chantier Pantin</t>
  </si>
  <si>
    <t>Engin de terrassement équipé pour le levage</t>
  </si>
  <si>
    <t>Crochet de manutention monté, périodicité ramenée à 6 mois</t>
  </si>
  <si>
    <t>Tractopelle</t>
  </si>
  <si>
    <t>JCB 3CX</t>
  </si>
  <si>
    <t>JCB-52741</t>
  </si>
  <si>
    <t>Chantier Aubervilliers</t>
  </si>
  <si>
    <t>Socotec</t>
  </si>
  <si>
    <t>Pelle sur chenilles 14 t</t>
  </si>
  <si>
    <t>Caterpillar 315</t>
  </si>
  <si>
    <t>CAT-90614</t>
  </si>
  <si>
    <t>Chantier Montreuil</t>
  </si>
  <si>
    <t>En location longue durée</t>
  </si>
  <si>
    <t>Foreuse sur chenilles</t>
  </si>
  <si>
    <t>Casagrande C6</t>
  </si>
  <si>
    <t>CG-10432</t>
  </si>
  <si>
    <t>Machine mobile d'excavation ou de forage du sol à conducteur porté</t>
  </si>
  <si>
    <t>Grue auxiliaire 12 t/m</t>
  </si>
  <si>
    <t>Divers</t>
  </si>
  <si>
    <t>Palfinger PK 15.501</t>
  </si>
  <si>
    <t>PK-71204</t>
  </si>
  <si>
    <t>Grue auxiliaire de chargement sur véhicule</t>
  </si>
  <si>
    <t>Machine reprise, dernier rapport à retrouver</t>
  </si>
  <si>
    <t>Hayon élévateur 1,5 t</t>
  </si>
  <si>
    <t>Dhollandia DH-LM</t>
  </si>
  <si>
    <t>DH-26085</t>
  </si>
  <si>
    <t>Hayon élévateur</t>
  </si>
  <si>
    <t>Monté sur le porteur 19 t</t>
  </si>
  <si>
    <t>Monte-matériaux 200 kg</t>
  </si>
  <si>
    <t>Böcker HD 21</t>
  </si>
  <si>
    <t>BO-14550</t>
  </si>
  <si>
    <t>Monte-matériaux de chantier</t>
  </si>
  <si>
    <t>Retour dépôt demandé</t>
  </si>
  <si>
    <t>Pont roulant atelier 5 t</t>
  </si>
  <si>
    <t>Demag EKKE</t>
  </si>
  <si>
    <t>DM-60119</t>
  </si>
  <si>
    <t>Pont roulant, palan ou potence</t>
  </si>
  <si>
    <t>Périodicité annuelle, hors liste art. 20-II</t>
  </si>
  <si>
    <t>Compacteur à déchets</t>
  </si>
  <si>
    <t>Presto PB 10</t>
  </si>
  <si>
    <t>PR-33902</t>
  </si>
  <si>
    <t>Chargement manuel, périodicité trimestrielle</t>
  </si>
  <si>
    <t>Compresseur 5 m³/min</t>
  </si>
  <si>
    <t>Compresseur</t>
  </si>
  <si>
    <t>Atlas Copco XAS 88</t>
  </si>
  <si>
    <t>XAS-50611</t>
  </si>
  <si>
    <t>Relève d'un autre régime de vérification</t>
  </si>
  <si>
    <t>Groupe électrogène 60 kVA</t>
  </si>
  <si>
    <t>Groupe électrogène</t>
  </si>
  <si>
    <t>SDMO R66</t>
  </si>
  <si>
    <t>SD-77410</t>
  </si>
  <si>
    <t>Type d'équipement</t>
  </si>
  <si>
    <t>Famille</t>
  </si>
  <si>
    <t>Fondement réglementaire</t>
  </si>
  <si>
    <t>Point de vigilance</t>
  </si>
  <si>
    <t>Fiche détaillée</t>
  </si>
  <si>
    <t>Appareils de levage (arrêté du 1er mars 2004)</t>
  </si>
  <si>
    <t>Art. 20-II et 23, arrêté du 1er mars 2004</t>
  </si>
  <si>
    <t>https://travixosystems.com/fr/vgp/grue-auxiliaire-chargement</t>
  </si>
  <si>
    <t>Grue à tour à montage rapide ou automatisé, sur stabilisateurs</t>
  </si>
  <si>
    <t>Le II de l'article 20 vise les grues à tour à montage rapide ou automatisé, sur stabilisateurs. Une grue à tour montée par éléments n'y figure pas.</t>
  </si>
  <si>
    <t>Bras ou portique de levage pour bennes amovibles</t>
  </si>
  <si>
    <t>https://travixosystems.com/fr/vgp/hayon-elevateur</t>
  </si>
  <si>
    <t>Monte-meubles</t>
  </si>
  <si>
    <t>C'est l'équipement de levage qui fait entrer l'engin dans cette ligne. Sans lui, voir « engin de terrassement à conducteur porté ».</t>
  </si>
  <si>
    <t>https://travixosystems.com/fr/vgp/engin-terrassement-levage</t>
  </si>
  <si>
    <t>Grue mobile automotrice ou sur véhicule porteur</t>
  </si>
  <si>
    <t>Le II de l'article 20 vise les grues mobiles ne nécessitant pas de montage ou de démontage de parties importantes.</t>
  </si>
  <si>
    <t>https://travixosystems.com/fr/vgp/chariot-elevateur</t>
  </si>
  <si>
    <t>Tracteur poseur de canalisations</t>
  </si>
  <si>
    <t>https://travixosystems.com/fr/vgp/nacelle-pemp</t>
  </si>
  <si>
    <t>Art. 23, règle générale, arrêté du 1er mars 2004</t>
  </si>
  <si>
    <t>https://travixosystems.com/fr/vgp/pont-roulant-palan</t>
  </si>
  <si>
    <t>Autre appareil de levage non énuméré au II de l'article 20</t>
  </si>
  <si>
    <t>La périodicité de six mois est l'exception. Un appareil de levage qui ne figure pas dans l'énumération du II de l'article 20 relève de la règle générale de douze mois.</t>
  </si>
  <si>
    <t>Machines mobiles de chantier (arrêté du 5 mars 1993)</t>
  </si>
  <si>
    <t>Art. 2, arrêté du 5 mars 1993</t>
  </si>
  <si>
    <t>Le texte vise les machines à conducteur porté. Le compactage ne figure pas dans les quatre opérations énumérées.</t>
  </si>
  <si>
    <t>https://travixosystems.com/fr/vgp/engin-terrassement-conducteur-porte</t>
  </si>
  <si>
    <t>Citée dans la même énumération que les machines de terrassement, et soumise au même qualificatif « à conducteur porté ».</t>
  </si>
  <si>
    <t>Machine mobile d'extraction à conducteur porté</t>
  </si>
  <si>
    <t>Machine à battre les palplanches</t>
  </si>
  <si>
    <t>https://travixosystems.com/fr/vgp/machine-battre-palplanches</t>
  </si>
  <si>
    <t>Machines de production (arrêté du 5 mars 1993)</t>
  </si>
  <si>
    <t>Art. 1er, arrêté du 5 mars 1993</t>
  </si>
  <si>
    <t>Sous les deux conditions cumulatives de l'article 1er : machine mue par une énergie autre que la force humaine employée directement, et chargement ou déchargement manuel en phase de production.</t>
  </si>
  <si>
    <t>https://travixosystems.com/fr/vgp/compacteur-dechets</t>
  </si>
  <si>
    <t>Système de compactage des véhicules de collecte d'ordures</t>
  </si>
  <si>
    <t>Presse à balles</t>
  </si>
  <si>
    <t>Presse mécanique ou hydraulique pour le travail à froid des métaux</t>
  </si>
  <si>
    <t>Presse à vis</t>
  </si>
  <si>
    <t>Presse à mouler les métaux</t>
  </si>
  <si>
    <t>Presse à mouler par injection ou compression les plastiques ou le caoutchouc</t>
  </si>
  <si>
    <t>Presse à platine (à dorer, à gaufrer, à découper)</t>
  </si>
  <si>
    <t>Presse à façonner au moyen d'un emporte-pièce</t>
  </si>
  <si>
    <t>Sous les deux conditions cumulatives de l'article 1er : machine mue par une énergie autre que la force humaine employée directement, et chargement ou déchargement manuel en phase de production. L'article vise les presses à façonner les cuirs, peaux, papiers, cartons ou matières plastiques en feuille au moyen d'un emporte-pièce.</t>
  </si>
  <si>
    <t>Massicot (papier, carton, bois, plastique en feuille)</t>
  </si>
  <si>
    <t>Machine à cylindres pour l'industrie du caoutchouc</t>
  </si>
  <si>
    <t>Centrifugeuse</t>
  </si>
  <si>
    <t>Citée à l'article 2, et donc à douze mois, contrairement aux autres machines de production listées ici.</t>
  </si>
  <si>
    <t>Hors champ</t>
  </si>
  <si>
    <t>Hors champ de ces deux textes</t>
  </si>
  <si>
    <t>Hors VGP levage. Régime des équipements sous pression</t>
  </si>
  <si>
    <t>Ne relève ni de l'arrêté du 1er mars 2004 ni de celui du 5 mars 1993. Périodicité à établir sur le régime applicable.</t>
  </si>
  <si>
    <t>Hors VGP levage. Vérification des installations électriques</t>
  </si>
  <si>
    <t>Autre (à qualifier)</t>
  </si>
  <si>
    <t>À qualifier par la personne qualifiée</t>
  </si>
  <si>
    <t>Aucune périodicité n'est proposée tant que l'équipement n'est pas rattaché à un texte.</t>
  </si>
  <si>
    <t>Objet</t>
  </si>
  <si>
    <t>Sources primaires des périodicités de l'onglet « Référentiel VGP ».</t>
  </si>
  <si>
    <t>Texte</t>
  </si>
  <si>
    <t>Arrêté du 1er mars 2004 (appareils de levage)</t>
  </si>
  <si>
    <t>Champ</t>
  </si>
  <si>
    <t>Article 22 : VGP des appareils de levage visés à l'article 2-a.</t>
  </si>
  <si>
    <t>Règle générale</t>
  </si>
  <si>
    <t>« La vérification générale périodique des appareils de levage soumis à l'article 22 doit avoir lieu tous les douze mois. » (art. 23)</t>
  </si>
  <si>
    <t>Exception six mois</t>
  </si>
  <si>
    <t>Appareils énumérés aux II et III de l'article 20, dont : grues auxiliaires de chargement sur véhicules ; hayons élévateurs ; monte-matériaux de chantier ; engins de terrassement équipés pour le levage ; grues mobiles ne nécessitant pas de montage de parties importantes ; chariots élévateurs ; plates-formes élévatrices mobiles de personnes.</t>
  </si>
  <si>
    <t>En location</t>
  </si>
  <si>
    <t>« A cet effet, il doit être placé sur l'appareil, ou à défaut à proximité, avec la notice d'instructions, les copies des rapports de vérification de première mise en service et de la dernière vérification périodique ainsi que l'historique des vérifications périodiques effectuées. » (art. 15-II)</t>
  </si>
  <si>
    <t>Lien</t>
  </si>
  <si>
    <t>https://www.legifrance.gouv.fr/loda/id/JORFTEXT000000439029</t>
  </si>
  <si>
    <t>Arrêté du 5 mars 1993 (machines hors levage)</t>
  </si>
  <si>
    <t>Douze mois</t>
  </si>
  <si>
    <t>« Machines mobiles d'extraction, de terrassement, d'excavation ou de forage du sol à conducteur porté et machines à battre les palplanches. » (art. 2). Le qualificatif « à conducteur porté » restreint l'énumération.</t>
  </si>
  <si>
    <t>Trois mois</t>
  </si>
  <si>
    <t>Presses, massicots, machines à cylindres pour l'industrie du caoutchouc, presses à balles, compacteurs à déchets, systèmes de compactage des véhicules de collecte (art. 1er-I).</t>
  </si>
  <si>
    <t>Restriction, art. 1er</t>
  </si>
  <si>
    <t>« Ne sont toutefois soumis à une vérification générale périodique que les équipements de travail mus par une source d'énergie autre que la force humaine employée directement et dont le chargement ou le déchargement est effectué manuellement en phase de production. » Les deux conditions sont cumulatives.</t>
  </si>
  <si>
    <t>Campagnes saisonnières</t>
  </si>
  <si>
    <t>Pour les seuls équipements de l'article 1er : si l'intercampagne dépasse trois mois, une seule vérification est requise pendant cette période, et la remise en service doit être précédée d'un essai de fonctionnement en sécurité (art. 1er-II).</t>
  </si>
  <si>
    <t>Points de contrôle</t>
  </si>
  <si>
    <t>L'article 3 énumère le contenu des vérifications des articles 1er et 2, limité aux parties visibles et aux éléments accessibles par démontage des carters ou capots.</t>
  </si>
  <si>
    <t>https://www.legifrance.gouv.fr/loda/id/LEGITEXT000006060118</t>
  </si>
  <si>
    <t>Code du travail</t>
  </si>
  <si>
    <t>R.4323-23</t>
  </si>
  <si>
    <t>Fonde l'obligation : des arrêtés déterminent les équipements soumis à vérification générale périodique, leur périodicité, leur nature et leur contenu.</t>
  </si>
  <si>
    <t>R.4323-24</t>
  </si>
  <si>
    <t>« Les vérifications générales périodiques sont réalisées par des personnes qualifiées, appartenant ou non à l'établissement, dont la liste est tenue à la disposition de l'inspection du travail. » Le recours à un organisme accrédité n'est pas imposé par le texte.</t>
  </si>
  <si>
    <t>Consulté le</t>
  </si>
  <si>
    <t>21/08/2026</t>
  </si>
  <si>
    <t>Ce tableau reprend les périodicités vérifiées sur les textes cités. Il ne remplace ni la lecture de ces textes, ni l'avis de la personne qualifiée qui réalise la vérification. Les équipements marqués « Hors champ » relèvent d'autres régimes et n'ont pas de périodicité proposée ici.</t>
  </si>
  <si>
    <t>Édité par</t>
  </si>
  <si>
    <t>TraviXO Systems, marque de Deralis Digital. https://travixosystems.com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</si>
</sst>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10" x14ac:knownFonts="1">
    <font>
      <color theme="1"/>
      <family val="2"/>
      <scheme val="minor"/>
      <sz val="11"/>
      <name val="Calibri"/>
    </font>
    <font>
      <b/>
      <color rgb="FF0A2730"/>
      <sz val="18"/>
    </font>
    <font>
      <b/>
      <color rgb="FF0A2730"/>
      <sz val="12"/>
    </font>
    <font>
      <b/>
      <color rgb="FFFFFFFF"/>
      <sz val="11"/>
    </font>
    <font>
      <b/>
    </font>
    <font>
      <color rgb="FF6B7280"/>
      <sz val="10"/>
    </font>
    <font>
      <u/>
      <color rgb="FFE8600A"/>
    </font>
    <font>
      <i/>
      <color rgb="FF6B7280"/>
    </font>
    <font>
      <b/>
      <color rgb="FF0A2730"/>
    </font>
    <font>
      <b/>
      <color rgb="FFE8600A"/>
      <sz val="12"/>
    </font>
  </fonts>
  <fills count="4">
    <fill>
      <patternFill patternType="none"/>
    </fill>
    <fill>
      <patternFill patternType="gray125"/>
    </fill>
    <fill>
      <patternFill patternType="solid">
        <fgColor rgb="FF0A2730"/>
      </patternFill>
    </fill>
    <fill>
      <patternFill patternType="solid">
        <fgColor rgb="FFF6F8FD"/>
      </patternFill>
    </fill>
  </fills>
  <borders count="3">
    <border>
      <left/>
      <right/>
      <top/>
      <bottom/>
      <diagonal/>
    </border>
    <border>
      <left/>
      <right/>
      <top/>
      <bottom style="medium">
        <color rgb="FFE8600A"/>
      </bottom>
      <diagonal/>
    </border>
    <border>
      <left/>
      <right style="thin">
        <color rgb="FFDFE3E8"/>
      </right>
      <top/>
      <bottom style="thin">
        <color rgb="FFDFE3E8"/>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1" xfId="0" applyFont="1" applyFill="1" applyBorder="1" applyAlignment="1">
      <alignment vertical="center" wrapText="1"/>
    </xf>
    <xf numFmtId="0" fontId="0" fillId="0" borderId="2" xfId="0" applyBorder="1"/>
    <xf numFmtId="0" fontId="0" fillId="3" borderId="2" xfId="0" applyFill="1" applyBorder="1" applyAlignment="1">
      <alignment horizontal="center"/>
    </xf>
    <xf numFmtId="164" fontId="0" fillId="0" borderId="2" xfId="0" applyNumberFormat="1" applyBorder="1"/>
    <xf numFmtId="164" fontId="0" fillId="3" borderId="2" xfId="0" applyNumberFormat="1" applyFill="1" applyBorder="1"/>
    <xf numFmtId="0" fontId="4" fillId="3" borderId="2" xfId="0" applyFont="1" applyFill="1" applyBorder="1" applyAlignment="1">
      <alignment horizontal="center"/>
    </xf>
    <xf numFmtId="0" fontId="0" fillId="0" borderId="0" xfId="0" applyAlignment="1">
      <alignment horizontal="center"/>
    </xf>
    <xf numFmtId="0" fontId="5" fillId="0" borderId="0" xfId="0" applyFont="1" applyAlignment="1">
      <alignment vertical="top" wrapText="1"/>
    </xf>
    <xf numFmtId="0" fontId="6" fillId="0" borderId="0" xfId="0" applyFont="1"/>
    <xf numFmtId="0" fontId="7" fillId="0" borderId="0" xfId="0" applyFont="1" applyAlignment="1">
      <alignment horizontal="center"/>
    </xf>
    <xf numFmtId="0" fontId="8" fillId="0" borderId="0" xfId="0" applyFont="1" applyAlignment="1">
      <alignment vertical="top"/>
    </xf>
    <xf numFmtId="0" fontId="9" fillId="0" borderId="0" xfId="0" applyFont="1" applyAlignment="1">
      <alignment vertical="top" wrapText="1"/>
    </xf>
  </cellXfs>
  <cellStyles count="1">
    <cellStyle name="Normal" xfId="0" builtinId="0"/>
  </cellStyles>
  <dxfs count="4">
    <dxf>
      <font>
        <color rgb="FF9B1C1C"/>
      </font>
      <fill>
        <patternFill patternType="solid">
          <fgColor rgb="FFFDE7E7"/>
        </patternFill>
      </fill>
    </dxf>
    <dxf>
      <font>
        <color rgb="FF92400E"/>
      </font>
      <fill>
        <patternFill patternType="solid">
          <fgColor rgb="FFFEF3C7"/>
        </patternFill>
      </fill>
    </dxf>
    <dxf>
      <font>
        <color rgb="FF1B5E20"/>
      </font>
      <fill>
        <patternFill patternType="solid">
          <fgColor rgb="FFE8F5E9"/>
        </patternFill>
      </fill>
    </dxf>
    <dxf>
      <font>
        <i/>
        <color rgb="FF6B728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travixosystems.com/fr/vgp/grue-auxiliaire-chargement" TargetMode="External"/><Relationship Id="rId2" Type="http://schemas.openxmlformats.org/officeDocument/2006/relationships/hyperlink" Target="https://travixosystems.com/fr/vgp/hayon-elevateur" TargetMode="External"/><Relationship Id="rId3" Type="http://schemas.openxmlformats.org/officeDocument/2006/relationships/hyperlink" Target="https://travixosystems.com/fr/vgp/engin-terrassement-levage" TargetMode="External"/><Relationship Id="rId4" Type="http://schemas.openxmlformats.org/officeDocument/2006/relationships/hyperlink" Target="https://travixosystems.com/fr/vgp/chariot-elevateur" TargetMode="External"/><Relationship Id="rId5" Type="http://schemas.openxmlformats.org/officeDocument/2006/relationships/hyperlink" Target="https://travixosystems.com/fr/vgp/nacelle-pemp" TargetMode="External"/><Relationship Id="rId6" Type="http://schemas.openxmlformats.org/officeDocument/2006/relationships/hyperlink" Target="https://travixosystems.com/fr/vgp/pont-roulant-palan" TargetMode="External"/><Relationship Id="rId7" Type="http://schemas.openxmlformats.org/officeDocument/2006/relationships/hyperlink" Target="https://travixosystems.com/fr/vgp/engin-terrassement-conducteur-porte" TargetMode="External"/><Relationship Id="rId8" Type="http://schemas.openxmlformats.org/officeDocument/2006/relationships/hyperlink" Target="https://travixosystems.com/fr/vgp/machine-battre-palplanches" TargetMode="External"/><Relationship Id="rId9" Type="http://schemas.openxmlformats.org/officeDocument/2006/relationships/hyperlink" Target="https://travixosystems.com/fr/vgp/compacteur-deche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B1:B36"/>
  <sheetFormatPr defaultRowHeight="15" outlineLevelRow="0" outlineLevelCol="0" x14ac:dyDescent="55"/>
  <cols>
    <col min="1" max="1" width="4" customWidth="1"/>
    <col min="2" max="2" width="116" customWidth="1"/>
  </cols>
  <sheetData>
    <row r="1" ht="30" customHeight="1" spans="2:2" x14ac:dyDescent="0.25">
      <c r="B1" s="1" t="s">
        <v>0</v>
      </c>
    </row>
    <row r="3" ht="32" customHeight="1" spans="2:2" x14ac:dyDescent="0.25">
      <c r="B3" s="2" t="s">
        <v>1</v>
      </c>
    </row>
    <row r="5" ht="22" customHeight="1" spans="2:2" x14ac:dyDescent="0.25">
      <c r="B5" s="3" t="s">
        <v>2</v>
      </c>
    </row>
    <row r="6" ht="18" customHeight="1" spans="2:2" x14ac:dyDescent="0.25">
      <c r="B6" s="2" t="s">
        <v>3</v>
      </c>
    </row>
    <row r="7" ht="18" customHeight="1" spans="2:2" x14ac:dyDescent="0.25">
      <c r="B7" s="2" t="s">
        <v>4</v>
      </c>
    </row>
    <row r="8" ht="18" customHeight="1" spans="2:2" x14ac:dyDescent="0.25">
      <c r="B8" s="2" t="s">
        <v>5</v>
      </c>
    </row>
    <row r="10" ht="22" customHeight="1" spans="2:2" x14ac:dyDescent="0.25">
      <c r="B10" s="3" t="s">
        <v>6</v>
      </c>
    </row>
    <row r="11" ht="32" customHeight="1" spans="2:2" x14ac:dyDescent="0.25">
      <c r="B11" s="2" t="s">
        <v>7</v>
      </c>
    </row>
    <row r="12" ht="32" customHeight="1" spans="2:2" x14ac:dyDescent="0.25">
      <c r="B12" s="2" t="s">
        <v>8</v>
      </c>
    </row>
    <row r="14" ht="22" customHeight="1" spans="2:2" x14ac:dyDescent="0.25">
      <c r="B14" s="3" t="s">
        <v>9</v>
      </c>
    </row>
    <row r="15" ht="18" customHeight="1" spans="2:2" x14ac:dyDescent="0.25">
      <c r="B15" s="2" t="s">
        <v>10</v>
      </c>
    </row>
    <row r="16" ht="18" customHeight="1" spans="2:2" x14ac:dyDescent="0.25">
      <c r="B16" s="2" t="s">
        <v>11</v>
      </c>
    </row>
    <row r="17" ht="18" customHeight="1" spans="2:2" x14ac:dyDescent="0.25">
      <c r="B17" s="2" t="s">
        <v>12</v>
      </c>
    </row>
    <row r="19" ht="22" customHeight="1" spans="2:2" x14ac:dyDescent="0.25">
      <c r="B19" s="3" t="s">
        <v>13</v>
      </c>
    </row>
    <row r="20" ht="18" customHeight="1" spans="2:2" x14ac:dyDescent="0.25">
      <c r="B20" s="2" t="s">
        <v>14</v>
      </c>
    </row>
    <row r="21" ht="18" customHeight="1" spans="2:2" x14ac:dyDescent="0.25">
      <c r="B21" s="2" t="s">
        <v>15</v>
      </c>
    </row>
    <row r="22" ht="18" customHeight="1" spans="2:2" x14ac:dyDescent="0.25">
      <c r="B22" s="2" t="s">
        <v>16</v>
      </c>
    </row>
    <row r="23" ht="32" customHeight="1" spans="2:2" x14ac:dyDescent="0.25">
      <c r="B23" s="2" t="s">
        <v>17</v>
      </c>
    </row>
    <row r="25" ht="22" customHeight="1" spans="2:2" x14ac:dyDescent="0.25">
      <c r="B25" s="3" t="s">
        <v>18</v>
      </c>
    </row>
    <row r="26" ht="32" customHeight="1" spans="2:2" x14ac:dyDescent="0.25">
      <c r="B26" s="2" t="s">
        <v>19</v>
      </c>
    </row>
    <row r="27" ht="32" customHeight="1" spans="2:2" x14ac:dyDescent="0.25">
      <c r="B27" s="2" t="s">
        <v>20</v>
      </c>
    </row>
    <row r="29" ht="22" customHeight="1" spans="2:2" x14ac:dyDescent="0.25">
      <c r="B29" s="3" t="s">
        <v>21</v>
      </c>
    </row>
    <row r="30" ht="32" customHeight="1" spans="2:2" x14ac:dyDescent="0.25">
      <c r="B30" s="2" t="s">
        <v>22</v>
      </c>
    </row>
    <row r="31" ht="32" customHeight="1" spans="2:2" x14ac:dyDescent="0.25">
      <c r="B31" s="2" t="s">
        <v>23</v>
      </c>
    </row>
    <row r="32" ht="18" customHeight="1" spans="2:2" x14ac:dyDescent="0.25">
      <c r="B32" s="2" t="s">
        <v>24</v>
      </c>
    </row>
    <row r="34" ht="22" customHeight="1" spans="2:2" x14ac:dyDescent="0.25">
      <c r="B34" s="3" t="s">
        <v>25</v>
      </c>
    </row>
    <row r="35" ht="18" customHeight="1" spans="2:2" x14ac:dyDescent="0.25">
      <c r="B35" s="2" t="s">
        <v>26</v>
      </c>
    </row>
    <row r="36" ht="32" customHeight="1" spans="2:2" x14ac:dyDescent="0.25">
      <c r="B36"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8600A"/>
  </sheetPr>
  <dimension ref="A1:N500"/>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20" customWidth="1"/>
    <col min="4" max="4" width="18" customWidth="1"/>
    <col min="5" max="5" width="20" customWidth="1"/>
    <col min="6" max="6" width="34" customWidth="1"/>
    <col min="7" max="7" width="14" customWidth="1"/>
    <col min="8" max="9" width="16" customWidth="1"/>
    <col min="10" max="10" width="13" customWidth="1"/>
    <col min="11" max="11" width="15" customWidth="1"/>
    <col min="12" max="12" width="16" customWidth="1"/>
    <col min="13" max="13" width="22" customWidth="1"/>
    <col min="14" max="14" width="40" customWidth="1"/>
  </cols>
  <sheetData>
    <row r="1" ht="34" customHeight="1" spans="1:14" x14ac:dyDescent="0.25">
      <c r="A1" s="4" t="s">
        <v>28</v>
      </c>
      <c r="B1" s="4" t="s">
        <v>29</v>
      </c>
      <c r="C1" s="4" t="s">
        <v>30</v>
      </c>
      <c r="D1" s="4" t="s">
        <v>31</v>
      </c>
      <c r="E1" s="4" t="s">
        <v>32</v>
      </c>
      <c r="F1" s="4" t="s">
        <v>33</v>
      </c>
      <c r="G1" s="4" t="s">
        <v>34</v>
      </c>
      <c r="H1" s="4" t="s">
        <v>35</v>
      </c>
      <c r="I1" s="4" t="s">
        <v>36</v>
      </c>
      <c r="J1" s="4" t="s">
        <v>37</v>
      </c>
      <c r="K1" s="4" t="s">
        <v>38</v>
      </c>
      <c r="L1" s="4" t="s">
        <v>39</v>
      </c>
      <c r="M1" s="4" t="s">
        <v>40</v>
      </c>
      <c r="N1" s="4" t="s">
        <v>41</v>
      </c>
    </row>
    <row r="2" spans="1:14" x14ac:dyDescent="0.25">
      <c r="A2" s="5" t="s">
        <v>42</v>
      </c>
      <c r="B2" s="5" t="s">
        <v>43</v>
      </c>
      <c r="C2" s="5" t="s">
        <v>44</v>
      </c>
      <c r="D2" s="5" t="s">
        <v>45</v>
      </c>
      <c r="E2" s="5" t="s">
        <v>46</v>
      </c>
      <c r="F2" s="5" t="s">
        <v>47</v>
      </c>
      <c r="G2" s="6">
        <f>IF($F2="","",IF(ISNA(VLOOKUP($F2,'Référentiel VGP'!$A$2:$B$33,2,FALSE)),"",VLOOKUP($F2,'Référentiel VGP'!$A$2:$B$33,2,FALSE)))</f>
        <v>6</v>
      </c>
      <c r="H2" s="7">
        <v>46040</v>
      </c>
      <c r="I2" s="8">
        <f>IF(OR($H2="",NOT(ISNUMBER($G2))),"",MIN(DATE(YEAR($H2),MONTH($H2)+$G2,DAY($H2)),DATE(YEAR($H2),MONTH($H2)+$G2+1,0)))</f>
        <v>46221</v>
      </c>
      <c r="J2" s="6">
        <f>IF($I2="","",$I2-TODAY())</f>
        <v>-34</v>
      </c>
      <c r="K2" s="9" t="str">
        <f>IF($F2="","",IF(NOT(ISNUMBER($G2)),"Hors champ",IF($H2="","À renseigner",IF($J2&lt;0,"Dépassée",IF($J2&lt;=30,"À planifier","À jour")))))</f>
        <v>Dépassée</v>
      </c>
      <c r="L2" s="5" t="s">
        <v>48</v>
      </c>
      <c r="M2" s="5" t="s">
        <v>49</v>
      </c>
      <c r="N2" s="5" t="s">
        <v>50</v>
      </c>
    </row>
    <row r="3" spans="1:14" x14ac:dyDescent="0.25">
      <c r="A3" s="5" t="s">
        <v>51</v>
      </c>
      <c r="B3" s="5" t="s">
        <v>43</v>
      </c>
      <c r="C3" s="5" t="s">
        <v>52</v>
      </c>
      <c r="D3" s="5" t="s">
        <v>53</v>
      </c>
      <c r="E3" s="5" t="s">
        <v>54</v>
      </c>
      <c r="F3" s="5" t="s">
        <v>47</v>
      </c>
      <c r="G3" s="6">
        <f>IF($F3="","",IF(ISNA(VLOOKUP($F3,'Référentiel VGP'!$A$2:$B$33,2,FALSE)),"",VLOOKUP($F3,'Référentiel VGP'!$A$2:$B$33,2,FALSE)))</f>
        <v>6</v>
      </c>
      <c r="H3" s="7">
        <v>46083</v>
      </c>
      <c r="I3" s="8">
        <f>IF(OR($H3="",NOT(ISNUMBER($G3))),"",MIN(DATE(YEAR($H3),MONTH($H3)+$G3,DAY($H3)),DATE(YEAR($H3),MONTH($H3)+$G3+1,0)))</f>
        <v>46267</v>
      </c>
      <c r="J3" s="6">
        <f>IF($I3="","",$I3-TODAY())</f>
        <v>12</v>
      </c>
      <c r="K3" s="9" t="str">
        <f>IF($F3="","",IF(NOT(ISNUMBER($G3)),"Hors champ",IF($H3="","À renseigner",IF($J3&lt;0,"Dépassée",IF($J3&lt;=30,"À planifier","À jour")))))</f>
        <v>À planifier</v>
      </c>
      <c r="L3" s="5" t="s">
        <v>48</v>
      </c>
      <c r="M3" s="5" t="s">
        <v>49</v>
      </c>
      <c r="N3" s="5" t="s">
        <v>55</v>
      </c>
    </row>
    <row r="4" spans="1:14" x14ac:dyDescent="0.25">
      <c r="A4" s="5" t="s">
        <v>56</v>
      </c>
      <c r="B4" s="5" t="s">
        <v>43</v>
      </c>
      <c r="C4" s="5" t="s">
        <v>57</v>
      </c>
      <c r="D4" s="5" t="s">
        <v>58</v>
      </c>
      <c r="E4" s="5" t="s">
        <v>59</v>
      </c>
      <c r="F4" s="5" t="s">
        <v>47</v>
      </c>
      <c r="G4" s="6">
        <f>IF($F4="","",IF(ISNA(VLOOKUP($F4,'Référentiel VGP'!$A$2:$B$33,2,FALSE)),"",VLOOKUP($F4,'Référentiel VGP'!$A$2:$B$33,2,FALSE)))</f>
        <v>6</v>
      </c>
      <c r="H4" s="7">
        <v>46211</v>
      </c>
      <c r="I4" s="8">
        <f>IF(OR($H4="",NOT(ISNUMBER($G4))),"",MIN(DATE(YEAR($H4),MONTH($H4)+$G4,DAY($H4)),DATE(YEAR($H4),MONTH($H4)+$G4+1,0)))</f>
        <v>46395</v>
      </c>
      <c r="J4" s="6">
        <f>IF($I4="","",$I4-TODAY())</f>
        <v>140</v>
      </c>
      <c r="K4" s="9" t="str">
        <f>IF($F4="","",IF(NOT(ISNUMBER($G4)),"Hors champ",IF($H4="","À renseigner",IF($J4&lt;0,"Dépassée",IF($J4&lt;=30,"À planifier","À jour")))))</f>
        <v>À jour</v>
      </c>
      <c r="L4" s="5" t="s">
        <v>60</v>
      </c>
      <c r="M4" s="5" t="s">
        <v>61</v>
      </c>
      <c r="N4" s="5" t="s">
        <v>55</v>
      </c>
    </row>
    <row r="5" spans="1:14" x14ac:dyDescent="0.25">
      <c r="A5" s="5" t="s">
        <v>62</v>
      </c>
      <c r="B5" s="5" t="s">
        <v>63</v>
      </c>
      <c r="C5" s="5" t="s">
        <v>64</v>
      </c>
      <c r="D5" s="5" t="s">
        <v>65</v>
      </c>
      <c r="E5" s="5" t="s">
        <v>66</v>
      </c>
      <c r="F5" s="5" t="s">
        <v>67</v>
      </c>
      <c r="G5" s="6">
        <f>IF($F5="","",IF(ISNA(VLOOKUP($F5,'Référentiel VGP'!$A$2:$B$33,2,FALSE)),"",VLOOKUP($F5,'Référentiel VGP'!$A$2:$B$33,2,FALSE)))</f>
        <v>6</v>
      </c>
      <c r="H5" s="7">
        <v>46089</v>
      </c>
      <c r="I5" s="8">
        <f>IF(OR($H5="",NOT(ISNUMBER($G5))),"",MIN(DATE(YEAR($H5),MONTH($H5)+$G5,DAY($H5)),DATE(YEAR($H5),MONTH($H5)+$G5+1,0)))</f>
        <v>46273</v>
      </c>
      <c r="J5" s="6">
        <f>IF($I5="","",$I5-TODAY())</f>
        <v>18</v>
      </c>
      <c r="K5" s="9" t="str">
        <f>IF($F5="","",IF(NOT(ISNUMBER($G5)),"Hors champ",IF($H5="","À renseigner",IF($J5&lt;0,"Dépassée",IF($J5&lt;=30,"À planifier","À jour")))))</f>
        <v>À planifier</v>
      </c>
      <c r="L5" s="5" t="s">
        <v>60</v>
      </c>
      <c r="M5" s="5" t="s">
        <v>68</v>
      </c>
      <c r="N5" s="5" t="s">
        <v>69</v>
      </c>
    </row>
    <row r="6" spans="1:14" x14ac:dyDescent="0.25">
      <c r="A6" s="5" t="s">
        <v>70</v>
      </c>
      <c r="B6" s="5" t="s">
        <v>63</v>
      </c>
      <c r="C6" s="5" t="s">
        <v>71</v>
      </c>
      <c r="D6" s="5" t="s">
        <v>72</v>
      </c>
      <c r="E6" s="5" t="s">
        <v>46</v>
      </c>
      <c r="F6" s="5" t="s">
        <v>67</v>
      </c>
      <c r="G6" s="6">
        <f>IF($F6="","",IF(ISNA(VLOOKUP($F6,'Référentiel VGP'!$A$2:$B$33,2,FALSE)),"",VLOOKUP($F6,'Référentiel VGP'!$A$2:$B$33,2,FALSE)))</f>
        <v>6</v>
      </c>
      <c r="H6" s="7">
        <v>46159</v>
      </c>
      <c r="I6" s="8">
        <f>IF(OR($H6="",NOT(ISNUMBER($G6))),"",MIN(DATE(YEAR($H6),MONTH($H6)+$G6,DAY($H6)),DATE(YEAR($H6),MONTH($H6)+$G6+1,0)))</f>
        <v>46343</v>
      </c>
      <c r="J6" s="6">
        <f>IF($I6="","",$I6-TODAY())</f>
        <v>88</v>
      </c>
      <c r="K6" s="9" t="str">
        <f>IF($F6="","",IF(NOT(ISNUMBER($G6)),"Hors champ",IF($H6="","À renseigner",IF($J6&lt;0,"Dépassée",IF($J6&lt;=30,"À planifier","À jour")))))</f>
        <v>À jour</v>
      </c>
      <c r="L6" s="5" t="s">
        <v>48</v>
      </c>
      <c r="M6" s="5" t="s">
        <v>73</v>
      </c>
      <c r="N6" s="5" t="s">
        <v>55</v>
      </c>
    </row>
    <row r="7" spans="1:14" x14ac:dyDescent="0.25">
      <c r="A7" s="5" t="s">
        <v>74</v>
      </c>
      <c r="B7" s="5" t="s">
        <v>63</v>
      </c>
      <c r="C7" s="5" t="s">
        <v>75</v>
      </c>
      <c r="D7" s="5" t="s">
        <v>76</v>
      </c>
      <c r="E7" s="5" t="s">
        <v>77</v>
      </c>
      <c r="F7" s="5" t="s">
        <v>67</v>
      </c>
      <c r="G7" s="6">
        <f>IF($F7="","",IF(ISNA(VLOOKUP($F7,'Référentiel VGP'!$A$2:$B$33,2,FALSE)),"",VLOOKUP($F7,'Référentiel VGP'!$A$2:$B$33,2,FALSE)))</f>
        <v>6</v>
      </c>
      <c r="H7" s="7">
        <v>46065</v>
      </c>
      <c r="I7" s="8">
        <f>IF(OR($H7="",NOT(ISNUMBER($G7))),"",MIN(DATE(YEAR($H7),MONTH($H7)+$G7,DAY($H7)),DATE(YEAR($H7),MONTH($H7)+$G7+1,0)))</f>
        <v>46246</v>
      </c>
      <c r="J7" s="6">
        <f>IF($I7="","",$I7-TODAY())</f>
        <v>-9</v>
      </c>
      <c r="K7" s="9" t="str">
        <f>IF($F7="","",IF(NOT(ISNUMBER($G7)),"Hors champ",IF($H7="","À renseigner",IF($J7&lt;0,"Dépassée",IF($J7&lt;=30,"À planifier","À jour")))))</f>
        <v>Dépassée</v>
      </c>
      <c r="L7" s="5" t="s">
        <v>78</v>
      </c>
      <c r="M7" s="5" t="s">
        <v>73</v>
      </c>
      <c r="N7" s="5" t="s">
        <v>79</v>
      </c>
    </row>
    <row r="8" spans="1:14" x14ac:dyDescent="0.25">
      <c r="A8" s="5" t="s">
        <v>80</v>
      </c>
      <c r="B8" s="5" t="s">
        <v>81</v>
      </c>
      <c r="C8" s="5" t="s">
        <v>82</v>
      </c>
      <c r="D8" s="5" t="s">
        <v>83</v>
      </c>
      <c r="E8" s="5" t="s">
        <v>46</v>
      </c>
      <c r="F8" s="5" t="s">
        <v>84</v>
      </c>
      <c r="G8" s="6">
        <f>IF($F8="","",IF(ISNA(VLOOKUP($F8,'Référentiel VGP'!$A$2:$B$33,2,FALSE)),"",VLOOKUP($F8,'Référentiel VGP'!$A$2:$B$33,2,FALSE)))</f>
        <v>12</v>
      </c>
      <c r="H8" s="7">
        <v>46130</v>
      </c>
      <c r="I8" s="8">
        <f>IF(OR($H8="",NOT(ISNUMBER($G8))),"",MIN(DATE(YEAR($H8),MONTH($H8)+$G8,DAY($H8)),DATE(YEAR($H8),MONTH($H8)+$G8+1,0)))</f>
        <v>46495</v>
      </c>
      <c r="J8" s="6">
        <f>IF($I8="","",$I8-TODAY())</f>
        <v>240</v>
      </c>
      <c r="K8" s="9" t="str">
        <f>IF($F8="","",IF(NOT(ISNUMBER($G8)),"Hors champ",IF($H8="","À renseigner",IF($J8&lt;0,"Dépassée",IF($J8&lt;=30,"À planifier","À jour")))))</f>
        <v>À jour</v>
      </c>
      <c r="L8" s="5" t="s">
        <v>48</v>
      </c>
      <c r="M8" s="5" t="s">
        <v>61</v>
      </c>
      <c r="N8" s="5" t="s">
        <v>85</v>
      </c>
    </row>
    <row r="9" spans="1:14" x14ac:dyDescent="0.25">
      <c r="A9" s="5" t="s">
        <v>86</v>
      </c>
      <c r="B9" s="5" t="s">
        <v>81</v>
      </c>
      <c r="C9" s="5" t="s">
        <v>87</v>
      </c>
      <c r="D9" s="5" t="s">
        <v>88</v>
      </c>
      <c r="E9" s="5" t="s">
        <v>89</v>
      </c>
      <c r="F9" s="5" t="s">
        <v>90</v>
      </c>
      <c r="G9" s="6">
        <f>IF($F9="","",IF(ISNA(VLOOKUP($F9,'Référentiel VGP'!$A$2:$B$33,2,FALSE)),"",VLOOKUP($F9,'Référentiel VGP'!$A$2:$B$33,2,FALSE)))</f>
        <v>6</v>
      </c>
      <c r="H9" s="7">
        <v>46166</v>
      </c>
      <c r="I9" s="8">
        <f>IF(OR($H9="",NOT(ISNUMBER($G9))),"",MIN(DATE(YEAR($H9),MONTH($H9)+$G9,DAY($H9)),DATE(YEAR($H9),MONTH($H9)+$G9+1,0)))</f>
        <v>46350</v>
      </c>
      <c r="J9" s="6">
        <f>IF($I9="","",$I9-TODAY())</f>
        <v>95</v>
      </c>
      <c r="K9" s="9" t="str">
        <f>IF($F9="","",IF(NOT(ISNUMBER($G9)),"Hors champ",IF($H9="","À renseigner",IF($J9&lt;0,"Dépassée",IF($J9&lt;=30,"À planifier","À jour")))))</f>
        <v>À jour</v>
      </c>
      <c r="L9" s="5" t="s">
        <v>48</v>
      </c>
      <c r="M9" s="5" t="s">
        <v>61</v>
      </c>
      <c r="N9" s="5" t="s">
        <v>91</v>
      </c>
    </row>
    <row r="10" spans="1:14" x14ac:dyDescent="0.25">
      <c r="A10" s="5" t="s">
        <v>92</v>
      </c>
      <c r="B10" s="5" t="s">
        <v>81</v>
      </c>
      <c r="C10" s="5" t="s">
        <v>93</v>
      </c>
      <c r="D10" s="5" t="s">
        <v>94</v>
      </c>
      <c r="E10" s="5" t="s">
        <v>95</v>
      </c>
      <c r="F10" s="5" t="s">
        <v>84</v>
      </c>
      <c r="G10" s="6">
        <f>IF($F10="","",IF(ISNA(VLOOKUP($F10,'Référentiel VGP'!$A$2:$B$33,2,FALSE)),"",VLOOKUP($F10,'Référentiel VGP'!$A$2:$B$33,2,FALSE)))</f>
        <v>12</v>
      </c>
      <c r="H10" s="7">
        <v>46200</v>
      </c>
      <c r="I10" s="8">
        <f>IF(OR($H10="",NOT(ISNUMBER($G10))),"",MIN(DATE(YEAR($H10),MONTH($H10)+$G10,DAY($H10)),DATE(YEAR($H10),MONTH($H10)+$G10+1,0)))</f>
        <v>46565</v>
      </c>
      <c r="J10" s="6">
        <f>IF($I10="","",$I10-TODAY())</f>
        <v>310</v>
      </c>
      <c r="K10" s="9" t="str">
        <f>IF($F10="","",IF(NOT(ISNUMBER($G10)),"Hors champ",IF($H10="","À renseigner",IF($J10&lt;0,"Dépassée",IF($J10&lt;=30,"À planifier","À jour")))))</f>
        <v>À jour</v>
      </c>
      <c r="L10" s="5" t="s">
        <v>60</v>
      </c>
      <c r="M10" s="5" t="s">
        <v>96</v>
      </c>
      <c r="N10" s="5" t="s">
        <v>55</v>
      </c>
    </row>
    <row r="11" spans="1:14" x14ac:dyDescent="0.25">
      <c r="A11" s="5" t="s">
        <v>97</v>
      </c>
      <c r="B11" s="5" t="s">
        <v>81</v>
      </c>
      <c r="C11" s="5" t="s">
        <v>98</v>
      </c>
      <c r="D11" s="5" t="s">
        <v>99</v>
      </c>
      <c r="E11" s="5" t="s">
        <v>100</v>
      </c>
      <c r="F11" s="5" t="s">
        <v>84</v>
      </c>
      <c r="G11" s="6">
        <f>IF($F11="","",IF(ISNA(VLOOKUP($F11,'Référentiel VGP'!$A$2:$B$33,2,FALSE)),"",VLOOKUP($F11,'Référentiel VGP'!$A$2:$B$33,2,FALSE)))</f>
        <v>12</v>
      </c>
      <c r="H11" s="7">
        <v>45916</v>
      </c>
      <c r="I11" s="8">
        <f>IF(OR($H11="",NOT(ISNUMBER($G11))),"",MIN(DATE(YEAR($H11),MONTH($H11)+$G11,DAY($H11)),DATE(YEAR($H11),MONTH($H11)+$G11+1,0)))</f>
        <v>46281</v>
      </c>
      <c r="J11" s="6">
        <f>IF($I11="","",$I11-TODAY())</f>
        <v>26</v>
      </c>
      <c r="K11" s="9" t="str">
        <f>IF($F11="","",IF(NOT(ISNUMBER($G11)),"Hors champ",IF($H11="","À renseigner",IF($J11&lt;0,"Dépassée",IF($J11&lt;=30,"À planifier","À jour")))))</f>
        <v>À planifier</v>
      </c>
      <c r="L11" s="5" t="s">
        <v>60</v>
      </c>
      <c r="M11" s="5" t="s">
        <v>96</v>
      </c>
      <c r="N11" s="5" t="s">
        <v>101</v>
      </c>
    </row>
    <row r="12" spans="1:14" x14ac:dyDescent="0.25">
      <c r="A12" s="5" t="s">
        <v>102</v>
      </c>
      <c r="B12" s="5" t="s">
        <v>81</v>
      </c>
      <c r="C12" s="5" t="s">
        <v>103</v>
      </c>
      <c r="D12" s="5" t="s">
        <v>104</v>
      </c>
      <c r="E12" s="5" t="s">
        <v>59</v>
      </c>
      <c r="F12" s="5" t="s">
        <v>105</v>
      </c>
      <c r="G12" s="6">
        <f>IF($F12="","",IF(ISNA(VLOOKUP($F12,'Référentiel VGP'!$A$2:$B$33,2,FALSE)),"",VLOOKUP($F12,'Référentiel VGP'!$A$2:$B$33,2,FALSE)))</f>
        <v>12</v>
      </c>
      <c r="H12" s="7">
        <v>46065</v>
      </c>
      <c r="I12" s="8">
        <f>IF(OR($H12="",NOT(ISNUMBER($G12))),"",MIN(DATE(YEAR($H12),MONTH($H12)+$G12,DAY($H12)),DATE(YEAR($H12),MONTH($H12)+$G12+1,0)))</f>
        <v>46430</v>
      </c>
      <c r="J12" s="6">
        <f>IF($I12="","",$I12-TODAY())</f>
        <v>175</v>
      </c>
      <c r="K12" s="9" t="str">
        <f>IF($F12="","",IF(NOT(ISNUMBER($G12)),"Hors champ",IF($H12="","À renseigner",IF($J12&lt;0,"Dépassée",IF($J12&lt;=30,"À planifier","À jour")))))</f>
        <v>À jour</v>
      </c>
      <c r="L12" s="5" t="s">
        <v>48</v>
      </c>
      <c r="M12" s="5" t="s">
        <v>96</v>
      </c>
      <c r="N12" s="5" t="s">
        <v>55</v>
      </c>
    </row>
    <row r="13" spans="1:14" x14ac:dyDescent="0.25">
      <c r="A13" s="5" t="s">
        <v>106</v>
      </c>
      <c r="B13" s="5" t="s">
        <v>107</v>
      </c>
      <c r="C13" s="5" t="s">
        <v>108</v>
      </c>
      <c r="D13" s="5" t="s">
        <v>109</v>
      </c>
      <c r="E13" s="5" t="s">
        <v>77</v>
      </c>
      <c r="F13" s="5" t="s">
        <v>110</v>
      </c>
      <c r="G13" s="6">
        <f>IF($F13="","",IF(ISNA(VLOOKUP($F13,'Référentiel VGP'!$A$2:$B$33,2,FALSE)),"",VLOOKUP($F13,'Référentiel VGP'!$A$2:$B$33,2,FALSE)))</f>
        <v>6</v>
      </c>
      <c r="H13" s="7"/>
      <c r="I13" s="8" t="str">
        <f>IF(OR($H13="",NOT(ISNUMBER($G13))),"",MIN(DATE(YEAR($H13),MONTH($H13)+$G13,DAY($H13)),DATE(YEAR($H13),MONTH($H13)+$G13+1,0)))</f>
        <v/>
      </c>
      <c r="J13" s="6" t="str">
        <f>IF($I13="","",$I13-TODAY())</f>
        <v/>
      </c>
      <c r="K13" s="9" t="str">
        <f>IF($F13="","",IF(NOT(ISNUMBER($G13)),"Hors champ",IF($H13="","À renseigner",IF($J13&lt;0,"Dépassée",IF($J13&lt;=30,"À planifier","À jour")))))</f>
        <v>À renseigner</v>
      </c>
      <c r="L13" s="5" t="s">
        <v>78</v>
      </c>
      <c r="M13" s="5" t="s">
        <v>55</v>
      </c>
      <c r="N13" s="5" t="s">
        <v>111</v>
      </c>
    </row>
    <row r="14" spans="1:14" x14ac:dyDescent="0.25">
      <c r="A14" s="5" t="s">
        <v>112</v>
      </c>
      <c r="B14" s="5" t="s">
        <v>107</v>
      </c>
      <c r="C14" s="5" t="s">
        <v>113</v>
      </c>
      <c r="D14" s="5" t="s">
        <v>114</v>
      </c>
      <c r="E14" s="5" t="s">
        <v>77</v>
      </c>
      <c r="F14" s="5" t="s">
        <v>115</v>
      </c>
      <c r="G14" s="6">
        <f>IF($F14="","",IF(ISNA(VLOOKUP($F14,'Référentiel VGP'!$A$2:$B$33,2,FALSE)),"",VLOOKUP($F14,'Référentiel VGP'!$A$2:$B$33,2,FALSE)))</f>
        <v>6</v>
      </c>
      <c r="H14" s="7">
        <v>46127</v>
      </c>
      <c r="I14" s="8">
        <f>IF(OR($H14="",NOT(ISNUMBER($G14))),"",MIN(DATE(YEAR($H14),MONTH($H14)+$G14,DAY($H14)),DATE(YEAR($H14),MONTH($H14)+$G14+1,0)))</f>
        <v>46310</v>
      </c>
      <c r="J14" s="6">
        <f>IF($I14="","",$I14-TODAY())</f>
        <v>55</v>
      </c>
      <c r="K14" s="9" t="str">
        <f>IF($F14="","",IF(NOT(ISNUMBER($G14)),"Hors champ",IF($H14="","À renseigner",IF($J14&lt;0,"Dépassée",IF($J14&lt;=30,"À planifier","À jour")))))</f>
        <v>À jour</v>
      </c>
      <c r="L14" s="5" t="s">
        <v>78</v>
      </c>
      <c r="M14" s="5" t="s">
        <v>49</v>
      </c>
      <c r="N14" s="5" t="s">
        <v>116</v>
      </c>
    </row>
    <row r="15" spans="1:14" x14ac:dyDescent="0.25">
      <c r="A15" s="5" t="s">
        <v>117</v>
      </c>
      <c r="B15" s="5" t="s">
        <v>107</v>
      </c>
      <c r="C15" s="5" t="s">
        <v>118</v>
      </c>
      <c r="D15" s="5" t="s">
        <v>119</v>
      </c>
      <c r="E15" s="5" t="s">
        <v>89</v>
      </c>
      <c r="F15" s="5" t="s">
        <v>120</v>
      </c>
      <c r="G15" s="6">
        <f>IF($F15="","",IF(ISNA(VLOOKUP($F15,'Référentiel VGP'!$A$2:$B$33,2,FALSE)),"",VLOOKUP($F15,'Référentiel VGP'!$A$2:$B$33,2,FALSE)))</f>
        <v>6</v>
      </c>
      <c r="H15" s="7">
        <v>46071</v>
      </c>
      <c r="I15" s="8">
        <f>IF(OR($H15="",NOT(ISNUMBER($G15))),"",MIN(DATE(YEAR($H15),MONTH($H15)+$G15,DAY($H15)),DATE(YEAR($H15),MONTH($H15)+$G15+1,0)))</f>
        <v>46252</v>
      </c>
      <c r="J15" s="6">
        <f>IF($I15="","",$I15-TODAY())</f>
        <v>-3</v>
      </c>
      <c r="K15" s="9" t="str">
        <f>IF($F15="","",IF(NOT(ISNUMBER($G15)),"Hors champ",IF($H15="","À renseigner",IF($J15&lt;0,"Dépassée",IF($J15&lt;=30,"À planifier","À jour")))))</f>
        <v>Dépassée</v>
      </c>
      <c r="L15" s="5" t="s">
        <v>48</v>
      </c>
      <c r="M15" s="5" t="s">
        <v>49</v>
      </c>
      <c r="N15" s="5" t="s">
        <v>121</v>
      </c>
    </row>
    <row r="16" spans="1:14" x14ac:dyDescent="0.25">
      <c r="A16" s="5" t="s">
        <v>122</v>
      </c>
      <c r="B16" s="5" t="s">
        <v>107</v>
      </c>
      <c r="C16" s="5" t="s">
        <v>123</v>
      </c>
      <c r="D16" s="5" t="s">
        <v>124</v>
      </c>
      <c r="E16" s="5" t="s">
        <v>77</v>
      </c>
      <c r="F16" s="5" t="s">
        <v>125</v>
      </c>
      <c r="G16" s="6">
        <f>IF($F16="","",IF(ISNA(VLOOKUP($F16,'Référentiel VGP'!$A$2:$B$33,2,FALSE)),"",VLOOKUP($F16,'Référentiel VGP'!$A$2:$B$33,2,FALSE)))</f>
        <v>12</v>
      </c>
      <c r="H16" s="7">
        <v>46090</v>
      </c>
      <c r="I16" s="8">
        <f>IF(OR($H16="",NOT(ISNUMBER($G16))),"",MIN(DATE(YEAR($H16),MONTH($H16)+$G16,DAY($H16)),DATE(YEAR($H16),MONTH($H16)+$G16+1,0)))</f>
        <v>46455</v>
      </c>
      <c r="J16" s="6">
        <f>IF($I16="","",$I16-TODAY())</f>
        <v>200</v>
      </c>
      <c r="K16" s="9" t="str">
        <f>IF($F16="","",IF(NOT(ISNUMBER($G16)),"Hors champ",IF($H16="","À renseigner",IF($J16&lt;0,"Dépassée",IF($J16&lt;=30,"À planifier","À jour")))))</f>
        <v>À jour</v>
      </c>
      <c r="L16" s="5" t="s">
        <v>78</v>
      </c>
      <c r="M16" s="5" t="s">
        <v>61</v>
      </c>
      <c r="N16" s="5" t="s">
        <v>126</v>
      </c>
    </row>
    <row r="17" spans="1:14" x14ac:dyDescent="0.25">
      <c r="A17" s="5" t="s">
        <v>127</v>
      </c>
      <c r="B17" s="5" t="s">
        <v>107</v>
      </c>
      <c r="C17" s="5" t="s">
        <v>128</v>
      </c>
      <c r="D17" s="5" t="s">
        <v>129</v>
      </c>
      <c r="E17" s="5" t="s">
        <v>54</v>
      </c>
      <c r="F17" s="5" t="s">
        <v>127</v>
      </c>
      <c r="G17" s="6">
        <f>IF($F17="","",IF(ISNA(VLOOKUP($F17,'Référentiel VGP'!$A$2:$B$33,2,FALSE)),"",VLOOKUP($F17,'Référentiel VGP'!$A$2:$B$33,2,FALSE)))</f>
        <v>3</v>
      </c>
      <c r="H17" s="7">
        <v>46183</v>
      </c>
      <c r="I17" s="8">
        <f>IF(OR($H17="",NOT(ISNUMBER($G17))),"",MIN(DATE(YEAR($H17),MONTH($H17)+$G17,DAY($H17)),DATE(YEAR($H17),MONTH($H17)+$G17+1,0)))</f>
        <v>46275</v>
      </c>
      <c r="J17" s="6">
        <f>IF($I17="","",$I17-TODAY())</f>
        <v>20</v>
      </c>
      <c r="K17" s="9" t="str">
        <f>IF($F17="","",IF(NOT(ISNUMBER($G17)),"Hors champ",IF($H17="","À renseigner",IF($J17&lt;0,"Dépassée",IF($J17&lt;=30,"À planifier","À jour")))))</f>
        <v>À planifier</v>
      </c>
      <c r="L17" s="5" t="s">
        <v>78</v>
      </c>
      <c r="M17" s="5" t="s">
        <v>73</v>
      </c>
      <c r="N17" s="5" t="s">
        <v>130</v>
      </c>
    </row>
    <row r="18" spans="1:14" x14ac:dyDescent="0.25">
      <c r="A18" s="5" t="s">
        <v>131</v>
      </c>
      <c r="B18" s="5" t="s">
        <v>132</v>
      </c>
      <c r="C18" s="5" t="s">
        <v>133</v>
      </c>
      <c r="D18" s="5" t="s">
        <v>134</v>
      </c>
      <c r="E18" s="5" t="s">
        <v>46</v>
      </c>
      <c r="F18" s="5" t="s">
        <v>132</v>
      </c>
      <c r="G18" s="6" t="str">
        <f>IF($F18="","",IF(ISNA(VLOOKUP($F18,'Référentiel VGP'!$A$2:$B$33,2,FALSE)),"",VLOOKUP($F18,'Référentiel VGP'!$A$2:$B$33,2,FALSE)))</f>
        <v>Hors champ</v>
      </c>
      <c r="H18" s="7"/>
      <c r="I18" s="8" t="str">
        <f>IF(OR($H18="",NOT(ISNUMBER($G18))),"",MIN(DATE(YEAR($H18),MONTH($H18)+$G18,DAY($H18)),DATE(YEAR($H18),MONTH($H18)+$G18+1,0)))</f>
        <v/>
      </c>
      <c r="J18" s="6" t="str">
        <f>IF($I18="","",$I18-TODAY())</f>
        <v/>
      </c>
      <c r="K18" s="9" t="str">
        <f>IF($F18="","",IF(NOT(ISNUMBER($G18)),"Hors champ",IF($H18="","À renseigner",IF($J18&lt;0,"Dépassée",IF($J18&lt;=30,"À planifier","À jour")))))</f>
        <v>Hors champ</v>
      </c>
      <c r="L18" s="5" t="s">
        <v>78</v>
      </c>
      <c r="M18" s="5" t="s">
        <v>55</v>
      </c>
      <c r="N18" s="5" t="s">
        <v>135</v>
      </c>
    </row>
    <row r="19" spans="1:14" x14ac:dyDescent="0.25">
      <c r="A19" s="5" t="s">
        <v>136</v>
      </c>
      <c r="B19" s="5" t="s">
        <v>137</v>
      </c>
      <c r="C19" s="5" t="s">
        <v>138</v>
      </c>
      <c r="D19" s="5" t="s">
        <v>139</v>
      </c>
      <c r="E19" s="5" t="s">
        <v>95</v>
      </c>
      <c r="F19" s="5" t="s">
        <v>137</v>
      </c>
      <c r="G19" s="6" t="str">
        <f>IF($F19="","",IF(ISNA(VLOOKUP($F19,'Référentiel VGP'!$A$2:$B$33,2,FALSE)),"",VLOOKUP($F19,'Référentiel VGP'!$A$2:$B$33,2,FALSE)))</f>
        <v>Hors champ</v>
      </c>
      <c r="H19" s="7"/>
      <c r="I19" s="8" t="str">
        <f>IF(OR($H19="",NOT(ISNUMBER($G19))),"",MIN(DATE(YEAR($H19),MONTH($H19)+$G19,DAY($H19)),DATE(YEAR($H19),MONTH($H19)+$G19+1,0)))</f>
        <v/>
      </c>
      <c r="J19" s="6" t="str">
        <f>IF($I19="","",$I19-TODAY())</f>
        <v/>
      </c>
      <c r="K19" s="9" t="str">
        <f>IF($F19="","",IF(NOT(ISNUMBER($G19)),"Hors champ",IF($H19="","À renseigner",IF($J19&lt;0,"Dépassée",IF($J19&lt;=30,"À planifier","À jour")))))</f>
        <v>Hors champ</v>
      </c>
      <c r="L19" s="5" t="s">
        <v>60</v>
      </c>
      <c r="M19" s="5" t="s">
        <v>55</v>
      </c>
      <c r="N19" s="5" t="s">
        <v>135</v>
      </c>
    </row>
    <row r="20" spans="1:14" x14ac:dyDescent="0.25">
      <c r="A20" s="5"/>
      <c r="B20" s="5"/>
      <c r="C20" s="5"/>
      <c r="D20" s="5"/>
      <c r="E20" s="5"/>
      <c r="F20" s="5"/>
      <c r="G20" s="6" t="str">
        <f>IF($F20="","",IF(ISNA(VLOOKUP($F20,'Référentiel VGP'!$A$2:$B$33,2,FALSE)),"",VLOOKUP($F20,'Référentiel VGP'!$A$2:$B$33,2,FALSE)))</f>
        <v/>
      </c>
      <c r="H20" s="7"/>
      <c r="I20" s="8" t="str">
        <f>IF(OR($H20="",NOT(ISNUMBER($G20))),"",MIN(DATE(YEAR($H20),MONTH($H20)+$G20,DAY($H20)),DATE(YEAR($H20),MONTH($H20)+$G20+1,0)))</f>
        <v/>
      </c>
      <c r="J20" s="6" t="str">
        <f>IF($I20="","",$I20-TODAY())</f>
        <v/>
      </c>
      <c r="K20" s="9" t="str">
        <f>IF($F20="","",IF(NOT(ISNUMBER($G20)),"Hors champ",IF($H20="","À renseigner",IF($J20&lt;0,"Dépassée",IF($J20&lt;=30,"À planifier","À jour")))))</f>
        <v/>
      </c>
      <c r="L20" s="5"/>
      <c r="M20" s="5"/>
      <c r="N20" s="5"/>
    </row>
    <row r="21" spans="1:14" x14ac:dyDescent="0.25">
      <c r="A21" s="5"/>
      <c r="B21" s="5"/>
      <c r="C21" s="5"/>
      <c r="D21" s="5"/>
      <c r="E21" s="5"/>
      <c r="F21" s="5"/>
      <c r="G21" s="6" t="str">
        <f>IF($F21="","",IF(ISNA(VLOOKUP($F21,'Référentiel VGP'!$A$2:$B$33,2,FALSE)),"",VLOOKUP($F21,'Référentiel VGP'!$A$2:$B$33,2,FALSE)))</f>
        <v/>
      </c>
      <c r="H21" s="7"/>
      <c r="I21" s="8" t="str">
        <f>IF(OR($H21="",NOT(ISNUMBER($G21))),"",MIN(DATE(YEAR($H21),MONTH($H21)+$G21,DAY($H21)),DATE(YEAR($H21),MONTH($H21)+$G21+1,0)))</f>
        <v/>
      </c>
      <c r="J21" s="6" t="str">
        <f>IF($I21="","",$I21-TODAY())</f>
        <v/>
      </c>
      <c r="K21" s="9" t="str">
        <f>IF($F21="","",IF(NOT(ISNUMBER($G21)),"Hors champ",IF($H21="","À renseigner",IF($J21&lt;0,"Dépassée",IF($J21&lt;=30,"À planifier","À jour")))))</f>
        <v/>
      </c>
      <c r="L21" s="5"/>
      <c r="M21" s="5"/>
      <c r="N21" s="5"/>
    </row>
    <row r="22" spans="1:14" x14ac:dyDescent="0.25">
      <c r="A22" s="5"/>
      <c r="B22" s="5"/>
      <c r="C22" s="5"/>
      <c r="D22" s="5"/>
      <c r="E22" s="5"/>
      <c r="F22" s="5"/>
      <c r="G22" s="6" t="str">
        <f>IF($F22="","",IF(ISNA(VLOOKUP($F22,'Référentiel VGP'!$A$2:$B$33,2,FALSE)),"",VLOOKUP($F22,'Référentiel VGP'!$A$2:$B$33,2,FALSE)))</f>
        <v/>
      </c>
      <c r="H22" s="7"/>
      <c r="I22" s="8" t="str">
        <f>IF(OR($H22="",NOT(ISNUMBER($G22))),"",MIN(DATE(YEAR($H22),MONTH($H22)+$G22,DAY($H22)),DATE(YEAR($H22),MONTH($H22)+$G22+1,0)))</f>
        <v/>
      </c>
      <c r="J22" s="6" t="str">
        <f>IF($I22="","",$I22-TODAY())</f>
        <v/>
      </c>
      <c r="K22" s="9" t="str">
        <f>IF($F22="","",IF(NOT(ISNUMBER($G22)),"Hors champ",IF($H22="","À renseigner",IF($J22&lt;0,"Dépassée",IF($J22&lt;=30,"À planifier","À jour")))))</f>
        <v/>
      </c>
      <c r="L22" s="5"/>
      <c r="M22" s="5"/>
      <c r="N22" s="5"/>
    </row>
    <row r="23" spans="1:14" x14ac:dyDescent="0.25">
      <c r="A23" s="5"/>
      <c r="B23" s="5"/>
      <c r="C23" s="5"/>
      <c r="D23" s="5"/>
      <c r="E23" s="5"/>
      <c r="F23" s="5"/>
      <c r="G23" s="6" t="str">
        <f>IF($F23="","",IF(ISNA(VLOOKUP($F23,'Référentiel VGP'!$A$2:$B$33,2,FALSE)),"",VLOOKUP($F23,'Référentiel VGP'!$A$2:$B$33,2,FALSE)))</f>
        <v/>
      </c>
      <c r="H23" s="7"/>
      <c r="I23" s="8" t="str">
        <f>IF(OR($H23="",NOT(ISNUMBER($G23))),"",MIN(DATE(YEAR($H23),MONTH($H23)+$G23,DAY($H23)),DATE(YEAR($H23),MONTH($H23)+$G23+1,0)))</f>
        <v/>
      </c>
      <c r="J23" s="6" t="str">
        <f>IF($I23="","",$I23-TODAY())</f>
        <v/>
      </c>
      <c r="K23" s="9" t="str">
        <f>IF($F23="","",IF(NOT(ISNUMBER($G23)),"Hors champ",IF($H23="","À renseigner",IF($J23&lt;0,"Dépassée",IF($J23&lt;=30,"À planifier","À jour")))))</f>
        <v/>
      </c>
      <c r="L23" s="5"/>
      <c r="M23" s="5"/>
      <c r="N23" s="5"/>
    </row>
    <row r="24" spans="1:14" x14ac:dyDescent="0.25">
      <c r="A24" s="5"/>
      <c r="B24" s="5"/>
      <c r="C24" s="5"/>
      <c r="D24" s="5"/>
      <c r="E24" s="5"/>
      <c r="F24" s="5"/>
      <c r="G24" s="6" t="str">
        <f>IF($F24="","",IF(ISNA(VLOOKUP($F24,'Référentiel VGP'!$A$2:$B$33,2,FALSE)),"",VLOOKUP($F24,'Référentiel VGP'!$A$2:$B$33,2,FALSE)))</f>
        <v/>
      </c>
      <c r="H24" s="7"/>
      <c r="I24" s="8" t="str">
        <f>IF(OR($H24="",NOT(ISNUMBER($G24))),"",MIN(DATE(YEAR($H24),MONTH($H24)+$G24,DAY($H24)),DATE(YEAR($H24),MONTH($H24)+$G24+1,0)))</f>
        <v/>
      </c>
      <c r="J24" s="6" t="str">
        <f>IF($I24="","",$I24-TODAY())</f>
        <v/>
      </c>
      <c r="K24" s="9" t="str">
        <f>IF($F24="","",IF(NOT(ISNUMBER($G24)),"Hors champ",IF($H24="","À renseigner",IF($J24&lt;0,"Dépassée",IF($J24&lt;=30,"À planifier","À jour")))))</f>
        <v/>
      </c>
      <c r="L24" s="5"/>
      <c r="M24" s="5"/>
      <c r="N24" s="5"/>
    </row>
    <row r="25" spans="1:14" x14ac:dyDescent="0.25">
      <c r="A25" s="5"/>
      <c r="B25" s="5"/>
      <c r="C25" s="5"/>
      <c r="D25" s="5"/>
      <c r="E25" s="5"/>
      <c r="F25" s="5"/>
      <c r="G25" s="6" t="str">
        <f>IF($F25="","",IF(ISNA(VLOOKUP($F25,'Référentiel VGP'!$A$2:$B$33,2,FALSE)),"",VLOOKUP($F25,'Référentiel VGP'!$A$2:$B$33,2,FALSE)))</f>
        <v/>
      </c>
      <c r="H25" s="7"/>
      <c r="I25" s="8" t="str">
        <f>IF(OR($H25="",NOT(ISNUMBER($G25))),"",MIN(DATE(YEAR($H25),MONTH($H25)+$G25,DAY($H25)),DATE(YEAR($H25),MONTH($H25)+$G25+1,0)))</f>
        <v/>
      </c>
      <c r="J25" s="6" t="str">
        <f>IF($I25="","",$I25-TODAY())</f>
        <v/>
      </c>
      <c r="K25" s="9" t="str">
        <f>IF($F25="","",IF(NOT(ISNUMBER($G25)),"Hors champ",IF($H25="","À renseigner",IF($J25&lt;0,"Dépassée",IF($J25&lt;=30,"À planifier","À jour")))))</f>
        <v/>
      </c>
      <c r="L25" s="5"/>
      <c r="M25" s="5"/>
      <c r="N25" s="5"/>
    </row>
    <row r="26" spans="1:14" x14ac:dyDescent="0.25">
      <c r="A26" s="5"/>
      <c r="B26" s="5"/>
      <c r="C26" s="5"/>
      <c r="D26" s="5"/>
      <c r="E26" s="5"/>
      <c r="F26" s="5"/>
      <c r="G26" s="6" t="str">
        <f>IF($F26="","",IF(ISNA(VLOOKUP($F26,'Référentiel VGP'!$A$2:$B$33,2,FALSE)),"",VLOOKUP($F26,'Référentiel VGP'!$A$2:$B$33,2,FALSE)))</f>
        <v/>
      </c>
      <c r="H26" s="7"/>
      <c r="I26" s="8" t="str">
        <f>IF(OR($H26="",NOT(ISNUMBER($G26))),"",MIN(DATE(YEAR($H26),MONTH($H26)+$G26,DAY($H26)),DATE(YEAR($H26),MONTH($H26)+$G26+1,0)))</f>
        <v/>
      </c>
      <c r="J26" s="6" t="str">
        <f>IF($I26="","",$I26-TODAY())</f>
        <v/>
      </c>
      <c r="K26" s="9" t="str">
        <f>IF($F26="","",IF(NOT(ISNUMBER($G26)),"Hors champ",IF($H26="","À renseigner",IF($J26&lt;0,"Dépassée",IF($J26&lt;=30,"À planifier","À jour")))))</f>
        <v/>
      </c>
      <c r="L26" s="5"/>
      <c r="M26" s="5"/>
      <c r="N26" s="5"/>
    </row>
    <row r="27" spans="1:14" x14ac:dyDescent="0.25">
      <c r="A27" s="5"/>
      <c r="B27" s="5"/>
      <c r="C27" s="5"/>
      <c r="D27" s="5"/>
      <c r="E27" s="5"/>
      <c r="F27" s="5"/>
      <c r="G27" s="6" t="str">
        <f>IF($F27="","",IF(ISNA(VLOOKUP($F27,'Référentiel VGP'!$A$2:$B$33,2,FALSE)),"",VLOOKUP($F27,'Référentiel VGP'!$A$2:$B$33,2,FALSE)))</f>
        <v/>
      </c>
      <c r="H27" s="7"/>
      <c r="I27" s="8" t="str">
        <f>IF(OR($H27="",NOT(ISNUMBER($G27))),"",MIN(DATE(YEAR($H27),MONTH($H27)+$G27,DAY($H27)),DATE(YEAR($H27),MONTH($H27)+$G27+1,0)))</f>
        <v/>
      </c>
      <c r="J27" s="6" t="str">
        <f>IF($I27="","",$I27-TODAY())</f>
        <v/>
      </c>
      <c r="K27" s="9" t="str">
        <f>IF($F27="","",IF(NOT(ISNUMBER($G27)),"Hors champ",IF($H27="","À renseigner",IF($J27&lt;0,"Dépassée",IF($J27&lt;=30,"À planifier","À jour")))))</f>
        <v/>
      </c>
      <c r="L27" s="5"/>
      <c r="M27" s="5"/>
      <c r="N27" s="5"/>
    </row>
    <row r="28" spans="1:14" x14ac:dyDescent="0.25">
      <c r="A28" s="5"/>
      <c r="B28" s="5"/>
      <c r="C28" s="5"/>
      <c r="D28" s="5"/>
      <c r="E28" s="5"/>
      <c r="F28" s="5"/>
      <c r="G28" s="6" t="str">
        <f>IF($F28="","",IF(ISNA(VLOOKUP($F28,'Référentiel VGP'!$A$2:$B$33,2,FALSE)),"",VLOOKUP($F28,'Référentiel VGP'!$A$2:$B$33,2,FALSE)))</f>
        <v/>
      </c>
      <c r="H28" s="7"/>
      <c r="I28" s="8" t="str">
        <f>IF(OR($H28="",NOT(ISNUMBER($G28))),"",MIN(DATE(YEAR($H28),MONTH($H28)+$G28,DAY($H28)),DATE(YEAR($H28),MONTH($H28)+$G28+1,0)))</f>
        <v/>
      </c>
      <c r="J28" s="6" t="str">
        <f>IF($I28="","",$I28-TODAY())</f>
        <v/>
      </c>
      <c r="K28" s="9" t="str">
        <f>IF($F28="","",IF(NOT(ISNUMBER($G28)),"Hors champ",IF($H28="","À renseigner",IF($J28&lt;0,"Dépassée",IF($J28&lt;=30,"À planifier","À jour")))))</f>
        <v/>
      </c>
      <c r="L28" s="5"/>
      <c r="M28" s="5"/>
      <c r="N28" s="5"/>
    </row>
    <row r="29" spans="1:14" x14ac:dyDescent="0.25">
      <c r="A29" s="5"/>
      <c r="B29" s="5"/>
      <c r="C29" s="5"/>
      <c r="D29" s="5"/>
      <c r="E29" s="5"/>
      <c r="F29" s="5"/>
      <c r="G29" s="6" t="str">
        <f>IF($F29="","",IF(ISNA(VLOOKUP($F29,'Référentiel VGP'!$A$2:$B$33,2,FALSE)),"",VLOOKUP($F29,'Référentiel VGP'!$A$2:$B$33,2,FALSE)))</f>
        <v/>
      </c>
      <c r="H29" s="7"/>
      <c r="I29" s="8" t="str">
        <f>IF(OR($H29="",NOT(ISNUMBER($G29))),"",MIN(DATE(YEAR($H29),MONTH($H29)+$G29,DAY($H29)),DATE(YEAR($H29),MONTH($H29)+$G29+1,0)))</f>
        <v/>
      </c>
      <c r="J29" s="6" t="str">
        <f>IF($I29="","",$I29-TODAY())</f>
        <v/>
      </c>
      <c r="K29" s="9" t="str">
        <f>IF($F29="","",IF(NOT(ISNUMBER($G29)),"Hors champ",IF($H29="","À renseigner",IF($J29&lt;0,"Dépassée",IF($J29&lt;=30,"À planifier","À jour")))))</f>
        <v/>
      </c>
      <c r="L29" s="5"/>
      <c r="M29" s="5"/>
      <c r="N29" s="5"/>
    </row>
    <row r="30" spans="1:14" x14ac:dyDescent="0.25">
      <c r="A30" s="5"/>
      <c r="B30" s="5"/>
      <c r="C30" s="5"/>
      <c r="D30" s="5"/>
      <c r="E30" s="5"/>
      <c r="F30" s="5"/>
      <c r="G30" s="6" t="str">
        <f>IF($F30="","",IF(ISNA(VLOOKUP($F30,'Référentiel VGP'!$A$2:$B$33,2,FALSE)),"",VLOOKUP($F30,'Référentiel VGP'!$A$2:$B$33,2,FALSE)))</f>
        <v/>
      </c>
      <c r="H30" s="7"/>
      <c r="I30" s="8" t="str">
        <f>IF(OR($H30="",NOT(ISNUMBER($G30))),"",MIN(DATE(YEAR($H30),MONTH($H30)+$G30,DAY($H30)),DATE(YEAR($H30),MONTH($H30)+$G30+1,0)))</f>
        <v/>
      </c>
      <c r="J30" s="6" t="str">
        <f>IF($I30="","",$I30-TODAY())</f>
        <v/>
      </c>
      <c r="K30" s="9" t="str">
        <f>IF($F30="","",IF(NOT(ISNUMBER($G30)),"Hors champ",IF($H30="","À renseigner",IF($J30&lt;0,"Dépassée",IF($J30&lt;=30,"À planifier","À jour")))))</f>
        <v/>
      </c>
      <c r="L30" s="5"/>
      <c r="M30" s="5"/>
      <c r="N30" s="5"/>
    </row>
    <row r="31" spans="1:14" x14ac:dyDescent="0.25">
      <c r="A31" s="5"/>
      <c r="B31" s="5"/>
      <c r="C31" s="5"/>
      <c r="D31" s="5"/>
      <c r="E31" s="5"/>
      <c r="F31" s="5"/>
      <c r="G31" s="6" t="str">
        <f>IF($F31="","",IF(ISNA(VLOOKUP($F31,'Référentiel VGP'!$A$2:$B$33,2,FALSE)),"",VLOOKUP($F31,'Référentiel VGP'!$A$2:$B$33,2,FALSE)))</f>
        <v/>
      </c>
      <c r="H31" s="7"/>
      <c r="I31" s="8" t="str">
        <f>IF(OR($H31="",NOT(ISNUMBER($G31))),"",MIN(DATE(YEAR($H31),MONTH($H31)+$G31,DAY($H31)),DATE(YEAR($H31),MONTH($H31)+$G31+1,0)))</f>
        <v/>
      </c>
      <c r="J31" s="6" t="str">
        <f>IF($I31="","",$I31-TODAY())</f>
        <v/>
      </c>
      <c r="K31" s="9" t="str">
        <f>IF($F31="","",IF(NOT(ISNUMBER($G31)),"Hors champ",IF($H31="","À renseigner",IF($J31&lt;0,"Dépassée",IF($J31&lt;=30,"À planifier","À jour")))))</f>
        <v/>
      </c>
      <c r="L31" s="5"/>
      <c r="M31" s="5"/>
      <c r="N31" s="5"/>
    </row>
    <row r="32" spans="1:14" x14ac:dyDescent="0.25">
      <c r="A32" s="5"/>
      <c r="B32" s="5"/>
      <c r="C32" s="5"/>
      <c r="D32" s="5"/>
      <c r="E32" s="5"/>
      <c r="F32" s="5"/>
      <c r="G32" s="6" t="str">
        <f>IF($F32="","",IF(ISNA(VLOOKUP($F32,'Référentiel VGP'!$A$2:$B$33,2,FALSE)),"",VLOOKUP($F32,'Référentiel VGP'!$A$2:$B$33,2,FALSE)))</f>
        <v/>
      </c>
      <c r="H32" s="7"/>
      <c r="I32" s="8" t="str">
        <f>IF(OR($H32="",NOT(ISNUMBER($G32))),"",MIN(DATE(YEAR($H32),MONTH($H32)+$G32,DAY($H32)),DATE(YEAR($H32),MONTH($H32)+$G32+1,0)))</f>
        <v/>
      </c>
      <c r="J32" s="6" t="str">
        <f>IF($I32="","",$I32-TODAY())</f>
        <v/>
      </c>
      <c r="K32" s="9" t="str">
        <f>IF($F32="","",IF(NOT(ISNUMBER($G32)),"Hors champ",IF($H32="","À renseigner",IF($J32&lt;0,"Dépassée",IF($J32&lt;=30,"À planifier","À jour")))))</f>
        <v/>
      </c>
      <c r="L32" s="5"/>
      <c r="M32" s="5"/>
      <c r="N32" s="5"/>
    </row>
    <row r="33" spans="1:14" x14ac:dyDescent="0.25">
      <c r="A33" s="5"/>
      <c r="B33" s="5"/>
      <c r="C33" s="5"/>
      <c r="D33" s="5"/>
      <c r="E33" s="5"/>
      <c r="F33" s="5"/>
      <c r="G33" s="6" t="str">
        <f>IF($F33="","",IF(ISNA(VLOOKUP($F33,'Référentiel VGP'!$A$2:$B$33,2,FALSE)),"",VLOOKUP($F33,'Référentiel VGP'!$A$2:$B$33,2,FALSE)))</f>
        <v/>
      </c>
      <c r="H33" s="7"/>
      <c r="I33" s="8" t="str">
        <f>IF(OR($H33="",NOT(ISNUMBER($G33))),"",MIN(DATE(YEAR($H33),MONTH($H33)+$G33,DAY($H33)),DATE(YEAR($H33),MONTH($H33)+$G33+1,0)))</f>
        <v/>
      </c>
      <c r="J33" s="6" t="str">
        <f>IF($I33="","",$I33-TODAY())</f>
        <v/>
      </c>
      <c r="K33" s="9" t="str">
        <f>IF($F33="","",IF(NOT(ISNUMBER($G33)),"Hors champ",IF($H33="","À renseigner",IF($J33&lt;0,"Dépassée",IF($J33&lt;=30,"À planifier","À jour")))))</f>
        <v/>
      </c>
      <c r="L33" s="5"/>
      <c r="M33" s="5"/>
      <c r="N33" s="5"/>
    </row>
    <row r="34" spans="1:14" x14ac:dyDescent="0.25">
      <c r="A34" s="5"/>
      <c r="B34" s="5"/>
      <c r="C34" s="5"/>
      <c r="D34" s="5"/>
      <c r="E34" s="5"/>
      <c r="F34" s="5"/>
      <c r="G34" s="6" t="str">
        <f>IF($F34="","",IF(ISNA(VLOOKUP($F34,'Référentiel VGP'!$A$2:$B$33,2,FALSE)),"",VLOOKUP($F34,'Référentiel VGP'!$A$2:$B$33,2,FALSE)))</f>
        <v/>
      </c>
      <c r="H34" s="7"/>
      <c r="I34" s="8" t="str">
        <f>IF(OR($H34="",NOT(ISNUMBER($G34))),"",MIN(DATE(YEAR($H34),MONTH($H34)+$G34,DAY($H34)),DATE(YEAR($H34),MONTH($H34)+$G34+1,0)))</f>
        <v/>
      </c>
      <c r="J34" s="6" t="str">
        <f>IF($I34="","",$I34-TODAY())</f>
        <v/>
      </c>
      <c r="K34" s="9" t="str">
        <f>IF($F34="","",IF(NOT(ISNUMBER($G34)),"Hors champ",IF($H34="","À renseigner",IF($J34&lt;0,"Dépassée",IF($J34&lt;=30,"À planifier","À jour")))))</f>
        <v/>
      </c>
      <c r="L34" s="5"/>
      <c r="M34" s="5"/>
      <c r="N34" s="5"/>
    </row>
    <row r="35" spans="1:14" x14ac:dyDescent="0.25">
      <c r="A35" s="5"/>
      <c r="B35" s="5"/>
      <c r="C35" s="5"/>
      <c r="D35" s="5"/>
      <c r="E35" s="5"/>
      <c r="F35" s="5"/>
      <c r="G35" s="6" t="str">
        <f>IF($F35="","",IF(ISNA(VLOOKUP($F35,'Référentiel VGP'!$A$2:$B$33,2,FALSE)),"",VLOOKUP($F35,'Référentiel VGP'!$A$2:$B$33,2,FALSE)))</f>
        <v/>
      </c>
      <c r="H35" s="7"/>
      <c r="I35" s="8" t="str">
        <f>IF(OR($H35="",NOT(ISNUMBER($G35))),"",MIN(DATE(YEAR($H35),MONTH($H35)+$G35,DAY($H35)),DATE(YEAR($H35),MONTH($H35)+$G35+1,0)))</f>
        <v/>
      </c>
      <c r="J35" s="6" t="str">
        <f>IF($I35="","",$I35-TODAY())</f>
        <v/>
      </c>
      <c r="K35" s="9" t="str">
        <f>IF($F35="","",IF(NOT(ISNUMBER($G35)),"Hors champ",IF($H35="","À renseigner",IF($J35&lt;0,"Dépassée",IF($J35&lt;=30,"À planifier","À jour")))))</f>
        <v/>
      </c>
      <c r="L35" s="5"/>
      <c r="M35" s="5"/>
      <c r="N35" s="5"/>
    </row>
    <row r="36" spans="1:14" x14ac:dyDescent="0.25">
      <c r="A36" s="5"/>
      <c r="B36" s="5"/>
      <c r="C36" s="5"/>
      <c r="D36" s="5"/>
      <c r="E36" s="5"/>
      <c r="F36" s="5"/>
      <c r="G36" s="6" t="str">
        <f>IF($F36="","",IF(ISNA(VLOOKUP($F36,'Référentiel VGP'!$A$2:$B$33,2,FALSE)),"",VLOOKUP($F36,'Référentiel VGP'!$A$2:$B$33,2,FALSE)))</f>
        <v/>
      </c>
      <c r="H36" s="7"/>
      <c r="I36" s="8" t="str">
        <f>IF(OR($H36="",NOT(ISNUMBER($G36))),"",MIN(DATE(YEAR($H36),MONTH($H36)+$G36,DAY($H36)),DATE(YEAR($H36),MONTH($H36)+$G36+1,0)))</f>
        <v/>
      </c>
      <c r="J36" s="6" t="str">
        <f>IF($I36="","",$I36-TODAY())</f>
        <v/>
      </c>
      <c r="K36" s="9" t="str">
        <f>IF($F36="","",IF(NOT(ISNUMBER($G36)),"Hors champ",IF($H36="","À renseigner",IF($J36&lt;0,"Dépassée",IF($J36&lt;=30,"À planifier","À jour")))))</f>
        <v/>
      </c>
      <c r="L36" s="5"/>
      <c r="M36" s="5"/>
      <c r="N36" s="5"/>
    </row>
    <row r="37" spans="1:14" x14ac:dyDescent="0.25">
      <c r="A37" s="5"/>
      <c r="B37" s="5"/>
      <c r="C37" s="5"/>
      <c r="D37" s="5"/>
      <c r="E37" s="5"/>
      <c r="F37" s="5"/>
      <c r="G37" s="6" t="str">
        <f>IF($F37="","",IF(ISNA(VLOOKUP($F37,'Référentiel VGP'!$A$2:$B$33,2,FALSE)),"",VLOOKUP($F37,'Référentiel VGP'!$A$2:$B$33,2,FALSE)))</f>
        <v/>
      </c>
      <c r="H37" s="7"/>
      <c r="I37" s="8" t="str">
        <f>IF(OR($H37="",NOT(ISNUMBER($G37))),"",MIN(DATE(YEAR($H37),MONTH($H37)+$G37,DAY($H37)),DATE(YEAR($H37),MONTH($H37)+$G37+1,0)))</f>
        <v/>
      </c>
      <c r="J37" s="6" t="str">
        <f>IF($I37="","",$I37-TODAY())</f>
        <v/>
      </c>
      <c r="K37" s="9" t="str">
        <f>IF($F37="","",IF(NOT(ISNUMBER($G37)),"Hors champ",IF($H37="","À renseigner",IF($J37&lt;0,"Dépassée",IF($J37&lt;=30,"À planifier","À jour")))))</f>
        <v/>
      </c>
      <c r="L37" s="5"/>
      <c r="M37" s="5"/>
      <c r="N37" s="5"/>
    </row>
    <row r="38" spans="1:14" x14ac:dyDescent="0.25">
      <c r="A38" s="5"/>
      <c r="B38" s="5"/>
      <c r="C38" s="5"/>
      <c r="D38" s="5"/>
      <c r="E38" s="5"/>
      <c r="F38" s="5"/>
      <c r="G38" s="6" t="str">
        <f>IF($F38="","",IF(ISNA(VLOOKUP($F38,'Référentiel VGP'!$A$2:$B$33,2,FALSE)),"",VLOOKUP($F38,'Référentiel VGP'!$A$2:$B$33,2,FALSE)))</f>
        <v/>
      </c>
      <c r="H38" s="7"/>
      <c r="I38" s="8" t="str">
        <f>IF(OR($H38="",NOT(ISNUMBER($G38))),"",MIN(DATE(YEAR($H38),MONTH($H38)+$G38,DAY($H38)),DATE(YEAR($H38),MONTH($H38)+$G38+1,0)))</f>
        <v/>
      </c>
      <c r="J38" s="6" t="str">
        <f>IF($I38="","",$I38-TODAY())</f>
        <v/>
      </c>
      <c r="K38" s="9" t="str">
        <f>IF($F38="","",IF(NOT(ISNUMBER($G38)),"Hors champ",IF($H38="","À renseigner",IF($J38&lt;0,"Dépassée",IF($J38&lt;=30,"À planifier","À jour")))))</f>
        <v/>
      </c>
      <c r="L38" s="5"/>
      <c r="M38" s="5"/>
      <c r="N38" s="5"/>
    </row>
    <row r="39" spans="1:14" x14ac:dyDescent="0.25">
      <c r="A39" s="5"/>
      <c r="B39" s="5"/>
      <c r="C39" s="5"/>
      <c r="D39" s="5"/>
      <c r="E39" s="5"/>
      <c r="F39" s="5"/>
      <c r="G39" s="6" t="str">
        <f>IF($F39="","",IF(ISNA(VLOOKUP($F39,'Référentiel VGP'!$A$2:$B$33,2,FALSE)),"",VLOOKUP($F39,'Référentiel VGP'!$A$2:$B$33,2,FALSE)))</f>
        <v/>
      </c>
      <c r="H39" s="7"/>
      <c r="I39" s="8" t="str">
        <f>IF(OR($H39="",NOT(ISNUMBER($G39))),"",MIN(DATE(YEAR($H39),MONTH($H39)+$G39,DAY($H39)),DATE(YEAR($H39),MONTH($H39)+$G39+1,0)))</f>
        <v/>
      </c>
      <c r="J39" s="6" t="str">
        <f>IF($I39="","",$I39-TODAY())</f>
        <v/>
      </c>
      <c r="K39" s="9" t="str">
        <f>IF($F39="","",IF(NOT(ISNUMBER($G39)),"Hors champ",IF($H39="","À renseigner",IF($J39&lt;0,"Dépassée",IF($J39&lt;=30,"À planifier","À jour")))))</f>
        <v/>
      </c>
      <c r="L39" s="5"/>
      <c r="M39" s="5"/>
      <c r="N39" s="5"/>
    </row>
    <row r="40" spans="1:14" x14ac:dyDescent="0.25">
      <c r="A40" s="5"/>
      <c r="B40" s="5"/>
      <c r="C40" s="5"/>
      <c r="D40" s="5"/>
      <c r="E40" s="5"/>
      <c r="F40" s="5"/>
      <c r="G40" s="6" t="str">
        <f>IF($F40="","",IF(ISNA(VLOOKUP($F40,'Référentiel VGP'!$A$2:$B$33,2,FALSE)),"",VLOOKUP($F40,'Référentiel VGP'!$A$2:$B$33,2,FALSE)))</f>
        <v/>
      </c>
      <c r="H40" s="7"/>
      <c r="I40" s="8" t="str">
        <f>IF(OR($H40="",NOT(ISNUMBER($G40))),"",MIN(DATE(YEAR($H40),MONTH($H40)+$G40,DAY($H40)),DATE(YEAR($H40),MONTH($H40)+$G40+1,0)))</f>
        <v/>
      </c>
      <c r="J40" s="6" t="str">
        <f>IF($I40="","",$I40-TODAY())</f>
        <v/>
      </c>
      <c r="K40" s="9" t="str">
        <f>IF($F40="","",IF(NOT(ISNUMBER($G40)),"Hors champ",IF($H40="","À renseigner",IF($J40&lt;0,"Dépassée",IF($J40&lt;=30,"À planifier","À jour")))))</f>
        <v/>
      </c>
      <c r="L40" s="5"/>
      <c r="M40" s="5"/>
      <c r="N40" s="5"/>
    </row>
    <row r="41" spans="1:14" x14ac:dyDescent="0.25">
      <c r="A41" s="5"/>
      <c r="B41" s="5"/>
      <c r="C41" s="5"/>
      <c r="D41" s="5"/>
      <c r="E41" s="5"/>
      <c r="F41" s="5"/>
      <c r="G41" s="6" t="str">
        <f>IF($F41="","",IF(ISNA(VLOOKUP($F41,'Référentiel VGP'!$A$2:$B$33,2,FALSE)),"",VLOOKUP($F41,'Référentiel VGP'!$A$2:$B$33,2,FALSE)))</f>
        <v/>
      </c>
      <c r="H41" s="7"/>
      <c r="I41" s="8" t="str">
        <f>IF(OR($H41="",NOT(ISNUMBER($G41))),"",MIN(DATE(YEAR($H41),MONTH($H41)+$G41,DAY($H41)),DATE(YEAR($H41),MONTH($H41)+$G41+1,0)))</f>
        <v/>
      </c>
      <c r="J41" s="6" t="str">
        <f>IF($I41="","",$I41-TODAY())</f>
        <v/>
      </c>
      <c r="K41" s="9" t="str">
        <f>IF($F41="","",IF(NOT(ISNUMBER($G41)),"Hors champ",IF($H41="","À renseigner",IF($J41&lt;0,"Dépassée",IF($J41&lt;=30,"À planifier","À jour")))))</f>
        <v/>
      </c>
      <c r="L41" s="5"/>
      <c r="M41" s="5"/>
      <c r="N41" s="5"/>
    </row>
    <row r="42" spans="1:14" x14ac:dyDescent="0.25">
      <c r="A42" s="5"/>
      <c r="B42" s="5"/>
      <c r="C42" s="5"/>
      <c r="D42" s="5"/>
      <c r="E42" s="5"/>
      <c r="F42" s="5"/>
      <c r="G42" s="6" t="str">
        <f>IF($F42="","",IF(ISNA(VLOOKUP($F42,'Référentiel VGP'!$A$2:$B$33,2,FALSE)),"",VLOOKUP($F42,'Référentiel VGP'!$A$2:$B$33,2,FALSE)))</f>
        <v/>
      </c>
      <c r="H42" s="7"/>
      <c r="I42" s="8" t="str">
        <f>IF(OR($H42="",NOT(ISNUMBER($G42))),"",MIN(DATE(YEAR($H42),MONTH($H42)+$G42,DAY($H42)),DATE(YEAR($H42),MONTH($H42)+$G42+1,0)))</f>
        <v/>
      </c>
      <c r="J42" s="6" t="str">
        <f>IF($I42="","",$I42-TODAY())</f>
        <v/>
      </c>
      <c r="K42" s="9" t="str">
        <f>IF($F42="","",IF(NOT(ISNUMBER($G42)),"Hors champ",IF($H42="","À renseigner",IF($J42&lt;0,"Dépassée",IF($J42&lt;=30,"À planifier","À jour")))))</f>
        <v/>
      </c>
      <c r="L42" s="5"/>
      <c r="M42" s="5"/>
      <c r="N42" s="5"/>
    </row>
    <row r="43" spans="1:14" x14ac:dyDescent="0.25">
      <c r="A43" s="5"/>
      <c r="B43" s="5"/>
      <c r="C43" s="5"/>
      <c r="D43" s="5"/>
      <c r="E43" s="5"/>
      <c r="F43" s="5"/>
      <c r="G43" s="6" t="str">
        <f>IF($F43="","",IF(ISNA(VLOOKUP($F43,'Référentiel VGP'!$A$2:$B$33,2,FALSE)),"",VLOOKUP($F43,'Référentiel VGP'!$A$2:$B$33,2,FALSE)))</f>
        <v/>
      </c>
      <c r="H43" s="7"/>
      <c r="I43" s="8" t="str">
        <f>IF(OR($H43="",NOT(ISNUMBER($G43))),"",MIN(DATE(YEAR($H43),MONTH($H43)+$G43,DAY($H43)),DATE(YEAR($H43),MONTH($H43)+$G43+1,0)))</f>
        <v/>
      </c>
      <c r="J43" s="6" t="str">
        <f>IF($I43="","",$I43-TODAY())</f>
        <v/>
      </c>
      <c r="K43" s="9" t="str">
        <f>IF($F43="","",IF(NOT(ISNUMBER($G43)),"Hors champ",IF($H43="","À renseigner",IF($J43&lt;0,"Dépassée",IF($J43&lt;=30,"À planifier","À jour")))))</f>
        <v/>
      </c>
      <c r="L43" s="5"/>
      <c r="M43" s="5"/>
      <c r="N43" s="5"/>
    </row>
    <row r="44" spans="1:14" x14ac:dyDescent="0.25">
      <c r="A44" s="5"/>
      <c r="B44" s="5"/>
      <c r="C44" s="5"/>
      <c r="D44" s="5"/>
      <c r="E44" s="5"/>
      <c r="F44" s="5"/>
      <c r="G44" s="6" t="str">
        <f>IF($F44="","",IF(ISNA(VLOOKUP($F44,'Référentiel VGP'!$A$2:$B$33,2,FALSE)),"",VLOOKUP($F44,'Référentiel VGP'!$A$2:$B$33,2,FALSE)))</f>
        <v/>
      </c>
      <c r="H44" s="7"/>
      <c r="I44" s="8" t="str">
        <f>IF(OR($H44="",NOT(ISNUMBER($G44))),"",MIN(DATE(YEAR($H44),MONTH($H44)+$G44,DAY($H44)),DATE(YEAR($H44),MONTH($H44)+$G44+1,0)))</f>
        <v/>
      </c>
      <c r="J44" s="6" t="str">
        <f>IF($I44="","",$I44-TODAY())</f>
        <v/>
      </c>
      <c r="K44" s="9" t="str">
        <f>IF($F44="","",IF(NOT(ISNUMBER($G44)),"Hors champ",IF($H44="","À renseigner",IF($J44&lt;0,"Dépassée",IF($J44&lt;=30,"À planifier","À jour")))))</f>
        <v/>
      </c>
      <c r="L44" s="5"/>
      <c r="M44" s="5"/>
      <c r="N44" s="5"/>
    </row>
    <row r="45" spans="1:14" x14ac:dyDescent="0.25">
      <c r="A45" s="5"/>
      <c r="B45" s="5"/>
      <c r="C45" s="5"/>
      <c r="D45" s="5"/>
      <c r="E45" s="5"/>
      <c r="F45" s="5"/>
      <c r="G45" s="6" t="str">
        <f>IF($F45="","",IF(ISNA(VLOOKUP($F45,'Référentiel VGP'!$A$2:$B$33,2,FALSE)),"",VLOOKUP($F45,'Référentiel VGP'!$A$2:$B$33,2,FALSE)))</f>
        <v/>
      </c>
      <c r="H45" s="7"/>
      <c r="I45" s="8" t="str">
        <f>IF(OR($H45="",NOT(ISNUMBER($G45))),"",MIN(DATE(YEAR($H45),MONTH($H45)+$G45,DAY($H45)),DATE(YEAR($H45),MONTH($H45)+$G45+1,0)))</f>
        <v/>
      </c>
      <c r="J45" s="6" t="str">
        <f>IF($I45="","",$I45-TODAY())</f>
        <v/>
      </c>
      <c r="K45" s="9" t="str">
        <f>IF($F45="","",IF(NOT(ISNUMBER($G45)),"Hors champ",IF($H45="","À renseigner",IF($J45&lt;0,"Dépassée",IF($J45&lt;=30,"À planifier","À jour")))))</f>
        <v/>
      </c>
      <c r="L45" s="5"/>
      <c r="M45" s="5"/>
      <c r="N45" s="5"/>
    </row>
    <row r="46" spans="1:14" x14ac:dyDescent="0.25">
      <c r="A46" s="5"/>
      <c r="B46" s="5"/>
      <c r="C46" s="5"/>
      <c r="D46" s="5"/>
      <c r="E46" s="5"/>
      <c r="F46" s="5"/>
      <c r="G46" s="6" t="str">
        <f>IF($F46="","",IF(ISNA(VLOOKUP($F46,'Référentiel VGP'!$A$2:$B$33,2,FALSE)),"",VLOOKUP($F46,'Référentiel VGP'!$A$2:$B$33,2,FALSE)))</f>
        <v/>
      </c>
      <c r="H46" s="7"/>
      <c r="I46" s="8" t="str">
        <f>IF(OR($H46="",NOT(ISNUMBER($G46))),"",MIN(DATE(YEAR($H46),MONTH($H46)+$G46,DAY($H46)),DATE(YEAR($H46),MONTH($H46)+$G46+1,0)))</f>
        <v/>
      </c>
      <c r="J46" s="6" t="str">
        <f>IF($I46="","",$I46-TODAY())</f>
        <v/>
      </c>
      <c r="K46" s="9" t="str">
        <f>IF($F46="","",IF(NOT(ISNUMBER($G46)),"Hors champ",IF($H46="","À renseigner",IF($J46&lt;0,"Dépassée",IF($J46&lt;=30,"À planifier","À jour")))))</f>
        <v/>
      </c>
      <c r="L46" s="5"/>
      <c r="M46" s="5"/>
      <c r="N46" s="5"/>
    </row>
    <row r="47" spans="1:14" x14ac:dyDescent="0.25">
      <c r="A47" s="5"/>
      <c r="B47" s="5"/>
      <c r="C47" s="5"/>
      <c r="D47" s="5"/>
      <c r="E47" s="5"/>
      <c r="F47" s="5"/>
      <c r="G47" s="6" t="str">
        <f>IF($F47="","",IF(ISNA(VLOOKUP($F47,'Référentiel VGP'!$A$2:$B$33,2,FALSE)),"",VLOOKUP($F47,'Référentiel VGP'!$A$2:$B$33,2,FALSE)))</f>
        <v/>
      </c>
      <c r="H47" s="7"/>
      <c r="I47" s="8" t="str">
        <f>IF(OR($H47="",NOT(ISNUMBER($G47))),"",MIN(DATE(YEAR($H47),MONTH($H47)+$G47,DAY($H47)),DATE(YEAR($H47),MONTH($H47)+$G47+1,0)))</f>
        <v/>
      </c>
      <c r="J47" s="6" t="str">
        <f>IF($I47="","",$I47-TODAY())</f>
        <v/>
      </c>
      <c r="K47" s="9" t="str">
        <f>IF($F47="","",IF(NOT(ISNUMBER($G47)),"Hors champ",IF($H47="","À renseigner",IF($J47&lt;0,"Dépassée",IF($J47&lt;=30,"À planifier","À jour")))))</f>
        <v/>
      </c>
      <c r="L47" s="5"/>
      <c r="M47" s="5"/>
      <c r="N47" s="5"/>
    </row>
    <row r="48" spans="1:14" x14ac:dyDescent="0.25">
      <c r="A48" s="5"/>
      <c r="B48" s="5"/>
      <c r="C48" s="5"/>
      <c r="D48" s="5"/>
      <c r="E48" s="5"/>
      <c r="F48" s="5"/>
      <c r="G48" s="6" t="str">
        <f>IF($F48="","",IF(ISNA(VLOOKUP($F48,'Référentiel VGP'!$A$2:$B$33,2,FALSE)),"",VLOOKUP($F48,'Référentiel VGP'!$A$2:$B$33,2,FALSE)))</f>
        <v/>
      </c>
      <c r="H48" s="7"/>
      <c r="I48" s="8" t="str">
        <f>IF(OR($H48="",NOT(ISNUMBER($G48))),"",MIN(DATE(YEAR($H48),MONTH($H48)+$G48,DAY($H48)),DATE(YEAR($H48),MONTH($H48)+$G48+1,0)))</f>
        <v/>
      </c>
      <c r="J48" s="6" t="str">
        <f>IF($I48="","",$I48-TODAY())</f>
        <v/>
      </c>
      <c r="K48" s="9" t="str">
        <f>IF($F48="","",IF(NOT(ISNUMBER($G48)),"Hors champ",IF($H48="","À renseigner",IF($J48&lt;0,"Dépassée",IF($J48&lt;=30,"À planifier","À jour")))))</f>
        <v/>
      </c>
      <c r="L48" s="5"/>
      <c r="M48" s="5"/>
      <c r="N48" s="5"/>
    </row>
    <row r="49" spans="1:14" x14ac:dyDescent="0.25">
      <c r="A49" s="5"/>
      <c r="B49" s="5"/>
      <c r="C49" s="5"/>
      <c r="D49" s="5"/>
      <c r="E49" s="5"/>
      <c r="F49" s="5"/>
      <c r="G49" s="6" t="str">
        <f>IF($F49="","",IF(ISNA(VLOOKUP($F49,'Référentiel VGP'!$A$2:$B$33,2,FALSE)),"",VLOOKUP($F49,'Référentiel VGP'!$A$2:$B$33,2,FALSE)))</f>
        <v/>
      </c>
      <c r="H49" s="7"/>
      <c r="I49" s="8" t="str">
        <f>IF(OR($H49="",NOT(ISNUMBER($G49))),"",MIN(DATE(YEAR($H49),MONTH($H49)+$G49,DAY($H49)),DATE(YEAR($H49),MONTH($H49)+$G49+1,0)))</f>
        <v/>
      </c>
      <c r="J49" s="6" t="str">
        <f>IF($I49="","",$I49-TODAY())</f>
        <v/>
      </c>
      <c r="K49" s="9" t="str">
        <f>IF($F49="","",IF(NOT(ISNUMBER($G49)),"Hors champ",IF($H49="","À renseigner",IF($J49&lt;0,"Dépassée",IF($J49&lt;=30,"À planifier","À jour")))))</f>
        <v/>
      </c>
      <c r="L49" s="5"/>
      <c r="M49" s="5"/>
      <c r="N49" s="5"/>
    </row>
    <row r="50" spans="1:14" x14ac:dyDescent="0.25">
      <c r="A50" s="5"/>
      <c r="B50" s="5"/>
      <c r="C50" s="5"/>
      <c r="D50" s="5"/>
      <c r="E50" s="5"/>
      <c r="F50" s="5"/>
      <c r="G50" s="6" t="str">
        <f>IF($F50="","",IF(ISNA(VLOOKUP($F50,'Référentiel VGP'!$A$2:$B$33,2,FALSE)),"",VLOOKUP($F50,'Référentiel VGP'!$A$2:$B$33,2,FALSE)))</f>
        <v/>
      </c>
      <c r="H50" s="7"/>
      <c r="I50" s="8" t="str">
        <f>IF(OR($H50="",NOT(ISNUMBER($G50))),"",MIN(DATE(YEAR($H50),MONTH($H50)+$G50,DAY($H50)),DATE(YEAR($H50),MONTH($H50)+$G50+1,0)))</f>
        <v/>
      </c>
      <c r="J50" s="6" t="str">
        <f>IF($I50="","",$I50-TODAY())</f>
        <v/>
      </c>
      <c r="K50" s="9" t="str">
        <f>IF($F50="","",IF(NOT(ISNUMBER($G50)),"Hors champ",IF($H50="","À renseigner",IF($J50&lt;0,"Dépassée",IF($J50&lt;=30,"À planifier","À jour")))))</f>
        <v/>
      </c>
      <c r="L50" s="5"/>
      <c r="M50" s="5"/>
      <c r="N50" s="5"/>
    </row>
    <row r="51" spans="1:14" x14ac:dyDescent="0.25">
      <c r="A51" s="5"/>
      <c r="B51" s="5"/>
      <c r="C51" s="5"/>
      <c r="D51" s="5"/>
      <c r="E51" s="5"/>
      <c r="F51" s="5"/>
      <c r="G51" s="6" t="str">
        <f>IF($F51="","",IF(ISNA(VLOOKUP($F51,'Référentiel VGP'!$A$2:$B$33,2,FALSE)),"",VLOOKUP($F51,'Référentiel VGP'!$A$2:$B$33,2,FALSE)))</f>
        <v/>
      </c>
      <c r="H51" s="7"/>
      <c r="I51" s="8" t="str">
        <f>IF(OR($H51="",NOT(ISNUMBER($G51))),"",MIN(DATE(YEAR($H51),MONTH($H51)+$G51,DAY($H51)),DATE(YEAR($H51),MONTH($H51)+$G51+1,0)))</f>
        <v/>
      </c>
      <c r="J51" s="6" t="str">
        <f>IF($I51="","",$I51-TODAY())</f>
        <v/>
      </c>
      <c r="K51" s="9" t="str">
        <f>IF($F51="","",IF(NOT(ISNUMBER($G51)),"Hors champ",IF($H51="","À renseigner",IF($J51&lt;0,"Dépassée",IF($J51&lt;=30,"À planifier","À jour")))))</f>
        <v/>
      </c>
      <c r="L51" s="5"/>
      <c r="M51" s="5"/>
      <c r="N51" s="5"/>
    </row>
    <row r="52" spans="1:14" x14ac:dyDescent="0.25">
      <c r="A52" s="5"/>
      <c r="B52" s="5"/>
      <c r="C52" s="5"/>
      <c r="D52" s="5"/>
      <c r="E52" s="5"/>
      <c r="F52" s="5"/>
      <c r="G52" s="6" t="str">
        <f>IF($F52="","",IF(ISNA(VLOOKUP($F52,'Référentiel VGP'!$A$2:$B$33,2,FALSE)),"",VLOOKUP($F52,'Référentiel VGP'!$A$2:$B$33,2,FALSE)))</f>
        <v/>
      </c>
      <c r="H52" s="7"/>
      <c r="I52" s="8" t="str">
        <f>IF(OR($H52="",NOT(ISNUMBER($G52))),"",MIN(DATE(YEAR($H52),MONTH($H52)+$G52,DAY($H52)),DATE(YEAR($H52),MONTH($H52)+$G52+1,0)))</f>
        <v/>
      </c>
      <c r="J52" s="6" t="str">
        <f>IF($I52="","",$I52-TODAY())</f>
        <v/>
      </c>
      <c r="K52" s="9" t="str">
        <f>IF($F52="","",IF(NOT(ISNUMBER($G52)),"Hors champ",IF($H52="","À renseigner",IF($J52&lt;0,"Dépassée",IF($J52&lt;=30,"À planifier","À jour")))))</f>
        <v/>
      </c>
      <c r="L52" s="5"/>
      <c r="M52" s="5"/>
      <c r="N52" s="5"/>
    </row>
    <row r="53" spans="1:14" x14ac:dyDescent="0.25">
      <c r="A53" s="5"/>
      <c r="B53" s="5"/>
      <c r="C53" s="5"/>
      <c r="D53" s="5"/>
      <c r="E53" s="5"/>
      <c r="F53" s="5"/>
      <c r="G53" s="6" t="str">
        <f>IF($F53="","",IF(ISNA(VLOOKUP($F53,'Référentiel VGP'!$A$2:$B$33,2,FALSE)),"",VLOOKUP($F53,'Référentiel VGP'!$A$2:$B$33,2,FALSE)))</f>
        <v/>
      </c>
      <c r="H53" s="7"/>
      <c r="I53" s="8" t="str">
        <f>IF(OR($H53="",NOT(ISNUMBER($G53))),"",MIN(DATE(YEAR($H53),MONTH($H53)+$G53,DAY($H53)),DATE(YEAR($H53),MONTH($H53)+$G53+1,0)))</f>
        <v/>
      </c>
      <c r="J53" s="6" t="str">
        <f>IF($I53="","",$I53-TODAY())</f>
        <v/>
      </c>
      <c r="K53" s="9" t="str">
        <f>IF($F53="","",IF(NOT(ISNUMBER($G53)),"Hors champ",IF($H53="","À renseigner",IF($J53&lt;0,"Dépassée",IF($J53&lt;=30,"À planifier","À jour")))))</f>
        <v/>
      </c>
      <c r="L53" s="5"/>
      <c r="M53" s="5"/>
      <c r="N53" s="5"/>
    </row>
    <row r="54" spans="1:14" x14ac:dyDescent="0.25">
      <c r="A54" s="5"/>
      <c r="B54" s="5"/>
      <c r="C54" s="5"/>
      <c r="D54" s="5"/>
      <c r="E54" s="5"/>
      <c r="F54" s="5"/>
      <c r="G54" s="6" t="str">
        <f>IF($F54="","",IF(ISNA(VLOOKUP($F54,'Référentiel VGP'!$A$2:$B$33,2,FALSE)),"",VLOOKUP($F54,'Référentiel VGP'!$A$2:$B$33,2,FALSE)))</f>
        <v/>
      </c>
      <c r="H54" s="7"/>
      <c r="I54" s="8" t="str">
        <f>IF(OR($H54="",NOT(ISNUMBER($G54))),"",MIN(DATE(YEAR($H54),MONTH($H54)+$G54,DAY($H54)),DATE(YEAR($H54),MONTH($H54)+$G54+1,0)))</f>
        <v/>
      </c>
      <c r="J54" s="6" t="str">
        <f>IF($I54="","",$I54-TODAY())</f>
        <v/>
      </c>
      <c r="K54" s="9" t="str">
        <f>IF($F54="","",IF(NOT(ISNUMBER($G54)),"Hors champ",IF($H54="","À renseigner",IF($J54&lt;0,"Dépassée",IF($J54&lt;=30,"À planifier","À jour")))))</f>
        <v/>
      </c>
      <c r="L54" s="5"/>
      <c r="M54" s="5"/>
      <c r="N54" s="5"/>
    </row>
    <row r="55" spans="1:14" x14ac:dyDescent="0.25">
      <c r="A55" s="5"/>
      <c r="B55" s="5"/>
      <c r="C55" s="5"/>
      <c r="D55" s="5"/>
      <c r="E55" s="5"/>
      <c r="F55" s="5"/>
      <c r="G55" s="6" t="str">
        <f>IF($F55="","",IF(ISNA(VLOOKUP($F55,'Référentiel VGP'!$A$2:$B$33,2,FALSE)),"",VLOOKUP($F55,'Référentiel VGP'!$A$2:$B$33,2,FALSE)))</f>
        <v/>
      </c>
      <c r="H55" s="7"/>
      <c r="I55" s="8" t="str">
        <f>IF(OR($H55="",NOT(ISNUMBER($G55))),"",MIN(DATE(YEAR($H55),MONTH($H55)+$G55,DAY($H55)),DATE(YEAR($H55),MONTH($H55)+$G55+1,0)))</f>
        <v/>
      </c>
      <c r="J55" s="6" t="str">
        <f>IF($I55="","",$I55-TODAY())</f>
        <v/>
      </c>
      <c r="K55" s="9" t="str">
        <f>IF($F55="","",IF(NOT(ISNUMBER($G55)),"Hors champ",IF($H55="","À renseigner",IF($J55&lt;0,"Dépassée",IF($J55&lt;=30,"À planifier","À jour")))))</f>
        <v/>
      </c>
      <c r="L55" s="5"/>
      <c r="M55" s="5"/>
      <c r="N55" s="5"/>
    </row>
    <row r="56" spans="1:14" x14ac:dyDescent="0.25">
      <c r="A56" s="5"/>
      <c r="B56" s="5"/>
      <c r="C56" s="5"/>
      <c r="D56" s="5"/>
      <c r="E56" s="5"/>
      <c r="F56" s="5"/>
      <c r="G56" s="6" t="str">
        <f>IF($F56="","",IF(ISNA(VLOOKUP($F56,'Référentiel VGP'!$A$2:$B$33,2,FALSE)),"",VLOOKUP($F56,'Référentiel VGP'!$A$2:$B$33,2,FALSE)))</f>
        <v/>
      </c>
      <c r="H56" s="7"/>
      <c r="I56" s="8" t="str">
        <f>IF(OR($H56="",NOT(ISNUMBER($G56))),"",MIN(DATE(YEAR($H56),MONTH($H56)+$G56,DAY($H56)),DATE(YEAR($H56),MONTH($H56)+$G56+1,0)))</f>
        <v/>
      </c>
      <c r="J56" s="6" t="str">
        <f>IF($I56="","",$I56-TODAY())</f>
        <v/>
      </c>
      <c r="K56" s="9" t="str">
        <f>IF($F56="","",IF(NOT(ISNUMBER($G56)),"Hors champ",IF($H56="","À renseigner",IF($J56&lt;0,"Dépassée",IF($J56&lt;=30,"À planifier","À jour")))))</f>
        <v/>
      </c>
      <c r="L56" s="5"/>
      <c r="M56" s="5"/>
      <c r="N56" s="5"/>
    </row>
    <row r="57" spans="1:14" x14ac:dyDescent="0.25">
      <c r="A57" s="5"/>
      <c r="B57" s="5"/>
      <c r="C57" s="5"/>
      <c r="D57" s="5"/>
      <c r="E57" s="5"/>
      <c r="F57" s="5"/>
      <c r="G57" s="6" t="str">
        <f>IF($F57="","",IF(ISNA(VLOOKUP($F57,'Référentiel VGP'!$A$2:$B$33,2,FALSE)),"",VLOOKUP($F57,'Référentiel VGP'!$A$2:$B$33,2,FALSE)))</f>
        <v/>
      </c>
      <c r="H57" s="7"/>
      <c r="I57" s="8" t="str">
        <f>IF(OR($H57="",NOT(ISNUMBER($G57))),"",MIN(DATE(YEAR($H57),MONTH($H57)+$G57,DAY($H57)),DATE(YEAR($H57),MONTH($H57)+$G57+1,0)))</f>
        <v/>
      </c>
      <c r="J57" s="6" t="str">
        <f>IF($I57="","",$I57-TODAY())</f>
        <v/>
      </c>
      <c r="K57" s="9" t="str">
        <f>IF($F57="","",IF(NOT(ISNUMBER($G57)),"Hors champ",IF($H57="","À renseigner",IF($J57&lt;0,"Dépassée",IF($J57&lt;=30,"À planifier","À jour")))))</f>
        <v/>
      </c>
      <c r="L57" s="5"/>
      <c r="M57" s="5"/>
      <c r="N57" s="5"/>
    </row>
    <row r="58" spans="1:14" x14ac:dyDescent="0.25">
      <c r="A58" s="5"/>
      <c r="B58" s="5"/>
      <c r="C58" s="5"/>
      <c r="D58" s="5"/>
      <c r="E58" s="5"/>
      <c r="F58" s="5"/>
      <c r="G58" s="6" t="str">
        <f>IF($F58="","",IF(ISNA(VLOOKUP($F58,'Référentiel VGP'!$A$2:$B$33,2,FALSE)),"",VLOOKUP($F58,'Référentiel VGP'!$A$2:$B$33,2,FALSE)))</f>
        <v/>
      </c>
      <c r="H58" s="7"/>
      <c r="I58" s="8" t="str">
        <f>IF(OR($H58="",NOT(ISNUMBER($G58))),"",MIN(DATE(YEAR($H58),MONTH($H58)+$G58,DAY($H58)),DATE(YEAR($H58),MONTH($H58)+$G58+1,0)))</f>
        <v/>
      </c>
      <c r="J58" s="6" t="str">
        <f>IF($I58="","",$I58-TODAY())</f>
        <v/>
      </c>
      <c r="K58" s="9" t="str">
        <f>IF($F58="","",IF(NOT(ISNUMBER($G58)),"Hors champ",IF($H58="","À renseigner",IF($J58&lt;0,"Dépassée",IF($J58&lt;=30,"À planifier","À jour")))))</f>
        <v/>
      </c>
      <c r="L58" s="5"/>
      <c r="M58" s="5"/>
      <c r="N58" s="5"/>
    </row>
    <row r="59" spans="1:14" x14ac:dyDescent="0.25">
      <c r="A59" s="5"/>
      <c r="B59" s="5"/>
      <c r="C59" s="5"/>
      <c r="D59" s="5"/>
      <c r="E59" s="5"/>
      <c r="F59" s="5"/>
      <c r="G59" s="6" t="str">
        <f>IF($F59="","",IF(ISNA(VLOOKUP($F59,'Référentiel VGP'!$A$2:$B$33,2,FALSE)),"",VLOOKUP($F59,'Référentiel VGP'!$A$2:$B$33,2,FALSE)))</f>
        <v/>
      </c>
      <c r="H59" s="7"/>
      <c r="I59" s="8" t="str">
        <f>IF(OR($H59="",NOT(ISNUMBER($G59))),"",MIN(DATE(YEAR($H59),MONTH($H59)+$G59,DAY($H59)),DATE(YEAR($H59),MONTH($H59)+$G59+1,0)))</f>
        <v/>
      </c>
      <c r="J59" s="6" t="str">
        <f>IF($I59="","",$I59-TODAY())</f>
        <v/>
      </c>
      <c r="K59" s="9" t="str">
        <f>IF($F59="","",IF(NOT(ISNUMBER($G59)),"Hors champ",IF($H59="","À renseigner",IF($J59&lt;0,"Dépassée",IF($J59&lt;=30,"À planifier","À jour")))))</f>
        <v/>
      </c>
      <c r="L59" s="5"/>
      <c r="M59" s="5"/>
      <c r="N59" s="5"/>
    </row>
    <row r="60" spans="1:14" x14ac:dyDescent="0.25">
      <c r="A60" s="5"/>
      <c r="B60" s="5"/>
      <c r="C60" s="5"/>
      <c r="D60" s="5"/>
      <c r="E60" s="5"/>
      <c r="F60" s="5"/>
      <c r="G60" s="6" t="str">
        <f>IF($F60="","",IF(ISNA(VLOOKUP($F60,'Référentiel VGP'!$A$2:$B$33,2,FALSE)),"",VLOOKUP($F60,'Référentiel VGP'!$A$2:$B$33,2,FALSE)))</f>
        <v/>
      </c>
      <c r="H60" s="7"/>
      <c r="I60" s="8" t="str">
        <f>IF(OR($H60="",NOT(ISNUMBER($G60))),"",MIN(DATE(YEAR($H60),MONTH($H60)+$G60,DAY($H60)),DATE(YEAR($H60),MONTH($H60)+$G60+1,0)))</f>
        <v/>
      </c>
      <c r="J60" s="6" t="str">
        <f>IF($I60="","",$I60-TODAY())</f>
        <v/>
      </c>
      <c r="K60" s="9" t="str">
        <f>IF($F60="","",IF(NOT(ISNUMBER($G60)),"Hors champ",IF($H60="","À renseigner",IF($J60&lt;0,"Dépassée",IF($J60&lt;=30,"À planifier","À jour")))))</f>
        <v/>
      </c>
      <c r="L60" s="5"/>
      <c r="M60" s="5"/>
      <c r="N60" s="5"/>
    </row>
    <row r="61" spans="1:14" x14ac:dyDescent="0.25">
      <c r="A61" s="5"/>
      <c r="B61" s="5"/>
      <c r="C61" s="5"/>
      <c r="D61" s="5"/>
      <c r="E61" s="5"/>
      <c r="F61" s="5"/>
      <c r="G61" s="6" t="str">
        <f>IF($F61="","",IF(ISNA(VLOOKUP($F61,'Référentiel VGP'!$A$2:$B$33,2,FALSE)),"",VLOOKUP($F61,'Référentiel VGP'!$A$2:$B$33,2,FALSE)))</f>
        <v/>
      </c>
      <c r="H61" s="7"/>
      <c r="I61" s="8" t="str">
        <f>IF(OR($H61="",NOT(ISNUMBER($G61))),"",MIN(DATE(YEAR($H61),MONTH($H61)+$G61,DAY($H61)),DATE(YEAR($H61),MONTH($H61)+$G61+1,0)))</f>
        <v/>
      </c>
      <c r="J61" s="6" t="str">
        <f>IF($I61="","",$I61-TODAY())</f>
        <v/>
      </c>
      <c r="K61" s="9" t="str">
        <f>IF($F61="","",IF(NOT(ISNUMBER($G61)),"Hors champ",IF($H61="","À renseigner",IF($J61&lt;0,"Dépassée",IF($J61&lt;=30,"À planifier","À jour")))))</f>
        <v/>
      </c>
      <c r="L61" s="5"/>
      <c r="M61" s="5"/>
      <c r="N61" s="5"/>
    </row>
    <row r="62" spans="1:14" x14ac:dyDescent="0.25">
      <c r="A62" s="5"/>
      <c r="B62" s="5"/>
      <c r="C62" s="5"/>
      <c r="D62" s="5"/>
      <c r="E62" s="5"/>
      <c r="F62" s="5"/>
      <c r="G62" s="6" t="str">
        <f>IF($F62="","",IF(ISNA(VLOOKUP($F62,'Référentiel VGP'!$A$2:$B$33,2,FALSE)),"",VLOOKUP($F62,'Référentiel VGP'!$A$2:$B$33,2,FALSE)))</f>
        <v/>
      </c>
      <c r="H62" s="7"/>
      <c r="I62" s="8" t="str">
        <f>IF(OR($H62="",NOT(ISNUMBER($G62))),"",MIN(DATE(YEAR($H62),MONTH($H62)+$G62,DAY($H62)),DATE(YEAR($H62),MONTH($H62)+$G62+1,0)))</f>
        <v/>
      </c>
      <c r="J62" s="6" t="str">
        <f>IF($I62="","",$I62-TODAY())</f>
        <v/>
      </c>
      <c r="K62" s="9" t="str">
        <f>IF($F62="","",IF(NOT(ISNUMBER($G62)),"Hors champ",IF($H62="","À renseigner",IF($J62&lt;0,"Dépassée",IF($J62&lt;=30,"À planifier","À jour")))))</f>
        <v/>
      </c>
      <c r="L62" s="5"/>
      <c r="M62" s="5"/>
      <c r="N62" s="5"/>
    </row>
    <row r="63" spans="1:14" x14ac:dyDescent="0.25">
      <c r="A63" s="5"/>
      <c r="B63" s="5"/>
      <c r="C63" s="5"/>
      <c r="D63" s="5"/>
      <c r="E63" s="5"/>
      <c r="F63" s="5"/>
      <c r="G63" s="6" t="str">
        <f>IF($F63="","",IF(ISNA(VLOOKUP($F63,'Référentiel VGP'!$A$2:$B$33,2,FALSE)),"",VLOOKUP($F63,'Référentiel VGP'!$A$2:$B$33,2,FALSE)))</f>
        <v/>
      </c>
      <c r="H63" s="7"/>
      <c r="I63" s="8" t="str">
        <f>IF(OR($H63="",NOT(ISNUMBER($G63))),"",MIN(DATE(YEAR($H63),MONTH($H63)+$G63,DAY($H63)),DATE(YEAR($H63),MONTH($H63)+$G63+1,0)))</f>
        <v/>
      </c>
      <c r="J63" s="6" t="str">
        <f>IF($I63="","",$I63-TODAY())</f>
        <v/>
      </c>
      <c r="K63" s="9" t="str">
        <f>IF($F63="","",IF(NOT(ISNUMBER($G63)),"Hors champ",IF($H63="","À renseigner",IF($J63&lt;0,"Dépassée",IF($J63&lt;=30,"À planifier","À jour")))))</f>
        <v/>
      </c>
      <c r="L63" s="5"/>
      <c r="M63" s="5"/>
      <c r="N63" s="5"/>
    </row>
    <row r="64" spans="1:14" x14ac:dyDescent="0.25">
      <c r="A64" s="5"/>
      <c r="B64" s="5"/>
      <c r="C64" s="5"/>
      <c r="D64" s="5"/>
      <c r="E64" s="5"/>
      <c r="F64" s="5"/>
      <c r="G64" s="6" t="str">
        <f>IF($F64="","",IF(ISNA(VLOOKUP($F64,'Référentiel VGP'!$A$2:$B$33,2,FALSE)),"",VLOOKUP($F64,'Référentiel VGP'!$A$2:$B$33,2,FALSE)))</f>
        <v/>
      </c>
      <c r="H64" s="7"/>
      <c r="I64" s="8" t="str">
        <f>IF(OR($H64="",NOT(ISNUMBER($G64))),"",MIN(DATE(YEAR($H64),MONTH($H64)+$G64,DAY($H64)),DATE(YEAR($H64),MONTH($H64)+$G64+1,0)))</f>
        <v/>
      </c>
      <c r="J64" s="6" t="str">
        <f>IF($I64="","",$I64-TODAY())</f>
        <v/>
      </c>
      <c r="K64" s="9" t="str">
        <f>IF($F64="","",IF(NOT(ISNUMBER($G64)),"Hors champ",IF($H64="","À renseigner",IF($J64&lt;0,"Dépassée",IF($J64&lt;=30,"À planifier","À jour")))))</f>
        <v/>
      </c>
      <c r="L64" s="5"/>
      <c r="M64" s="5"/>
      <c r="N64" s="5"/>
    </row>
    <row r="65" spans="1:14" x14ac:dyDescent="0.25">
      <c r="A65" s="5"/>
      <c r="B65" s="5"/>
      <c r="C65" s="5"/>
      <c r="D65" s="5"/>
      <c r="E65" s="5"/>
      <c r="F65" s="5"/>
      <c r="G65" s="6" t="str">
        <f>IF($F65="","",IF(ISNA(VLOOKUP($F65,'Référentiel VGP'!$A$2:$B$33,2,FALSE)),"",VLOOKUP($F65,'Référentiel VGP'!$A$2:$B$33,2,FALSE)))</f>
        <v/>
      </c>
      <c r="H65" s="7"/>
      <c r="I65" s="8" t="str">
        <f>IF(OR($H65="",NOT(ISNUMBER($G65))),"",MIN(DATE(YEAR($H65),MONTH($H65)+$G65,DAY($H65)),DATE(YEAR($H65),MONTH($H65)+$G65+1,0)))</f>
        <v/>
      </c>
      <c r="J65" s="6" t="str">
        <f>IF($I65="","",$I65-TODAY())</f>
        <v/>
      </c>
      <c r="K65" s="9" t="str">
        <f>IF($F65="","",IF(NOT(ISNUMBER($G65)),"Hors champ",IF($H65="","À renseigner",IF($J65&lt;0,"Dépassée",IF($J65&lt;=30,"À planifier","À jour")))))</f>
        <v/>
      </c>
      <c r="L65" s="5"/>
      <c r="M65" s="5"/>
      <c r="N65" s="5"/>
    </row>
    <row r="66" spans="1:14" x14ac:dyDescent="0.25">
      <c r="A66" s="5"/>
      <c r="B66" s="5"/>
      <c r="C66" s="5"/>
      <c r="D66" s="5"/>
      <c r="E66" s="5"/>
      <c r="F66" s="5"/>
      <c r="G66" s="6" t="str">
        <f>IF($F66="","",IF(ISNA(VLOOKUP($F66,'Référentiel VGP'!$A$2:$B$33,2,FALSE)),"",VLOOKUP($F66,'Référentiel VGP'!$A$2:$B$33,2,FALSE)))</f>
        <v/>
      </c>
      <c r="H66" s="7"/>
      <c r="I66" s="8" t="str">
        <f>IF(OR($H66="",NOT(ISNUMBER($G66))),"",MIN(DATE(YEAR($H66),MONTH($H66)+$G66,DAY($H66)),DATE(YEAR($H66),MONTH($H66)+$G66+1,0)))</f>
        <v/>
      </c>
      <c r="J66" s="6" t="str">
        <f>IF($I66="","",$I66-TODAY())</f>
        <v/>
      </c>
      <c r="K66" s="9" t="str">
        <f>IF($F66="","",IF(NOT(ISNUMBER($G66)),"Hors champ",IF($H66="","À renseigner",IF($J66&lt;0,"Dépassée",IF($J66&lt;=30,"À planifier","À jour")))))</f>
        <v/>
      </c>
      <c r="L66" s="5"/>
      <c r="M66" s="5"/>
      <c r="N66" s="5"/>
    </row>
    <row r="67" spans="1:14" x14ac:dyDescent="0.25">
      <c r="A67" s="5"/>
      <c r="B67" s="5"/>
      <c r="C67" s="5"/>
      <c r="D67" s="5"/>
      <c r="E67" s="5"/>
      <c r="F67" s="5"/>
      <c r="G67" s="6" t="str">
        <f>IF($F67="","",IF(ISNA(VLOOKUP($F67,'Référentiel VGP'!$A$2:$B$33,2,FALSE)),"",VLOOKUP($F67,'Référentiel VGP'!$A$2:$B$33,2,FALSE)))</f>
        <v/>
      </c>
      <c r="H67" s="7"/>
      <c r="I67" s="8" t="str">
        <f>IF(OR($H67="",NOT(ISNUMBER($G67))),"",MIN(DATE(YEAR($H67),MONTH($H67)+$G67,DAY($H67)),DATE(YEAR($H67),MONTH($H67)+$G67+1,0)))</f>
        <v/>
      </c>
      <c r="J67" s="6" t="str">
        <f>IF($I67="","",$I67-TODAY())</f>
        <v/>
      </c>
      <c r="K67" s="9" t="str">
        <f>IF($F67="","",IF(NOT(ISNUMBER($G67)),"Hors champ",IF($H67="","À renseigner",IF($J67&lt;0,"Dépassée",IF($J67&lt;=30,"À planifier","À jour")))))</f>
        <v/>
      </c>
      <c r="L67" s="5"/>
      <c r="M67" s="5"/>
      <c r="N67" s="5"/>
    </row>
    <row r="68" spans="1:14" x14ac:dyDescent="0.25">
      <c r="A68" s="5"/>
      <c r="B68" s="5"/>
      <c r="C68" s="5"/>
      <c r="D68" s="5"/>
      <c r="E68" s="5"/>
      <c r="F68" s="5"/>
      <c r="G68" s="6" t="str">
        <f>IF($F68="","",IF(ISNA(VLOOKUP($F68,'Référentiel VGP'!$A$2:$B$33,2,FALSE)),"",VLOOKUP($F68,'Référentiel VGP'!$A$2:$B$33,2,FALSE)))</f>
        <v/>
      </c>
      <c r="H68" s="7"/>
      <c r="I68" s="8" t="str">
        <f>IF(OR($H68="",NOT(ISNUMBER($G68))),"",MIN(DATE(YEAR($H68),MONTH($H68)+$G68,DAY($H68)),DATE(YEAR($H68),MONTH($H68)+$G68+1,0)))</f>
        <v/>
      </c>
      <c r="J68" s="6" t="str">
        <f>IF($I68="","",$I68-TODAY())</f>
        <v/>
      </c>
      <c r="K68" s="9" t="str">
        <f>IF($F68="","",IF(NOT(ISNUMBER($G68)),"Hors champ",IF($H68="","À renseigner",IF($J68&lt;0,"Dépassée",IF($J68&lt;=30,"À planifier","À jour")))))</f>
        <v/>
      </c>
      <c r="L68" s="5"/>
      <c r="M68" s="5"/>
      <c r="N68" s="5"/>
    </row>
    <row r="69" spans="1:14" x14ac:dyDescent="0.25">
      <c r="A69" s="5"/>
      <c r="B69" s="5"/>
      <c r="C69" s="5"/>
      <c r="D69" s="5"/>
      <c r="E69" s="5"/>
      <c r="F69" s="5"/>
      <c r="G69" s="6" t="str">
        <f>IF($F69="","",IF(ISNA(VLOOKUP($F69,'Référentiel VGP'!$A$2:$B$33,2,FALSE)),"",VLOOKUP($F69,'Référentiel VGP'!$A$2:$B$33,2,FALSE)))</f>
        <v/>
      </c>
      <c r="H69" s="7"/>
      <c r="I69" s="8" t="str">
        <f>IF(OR($H69="",NOT(ISNUMBER($G69))),"",MIN(DATE(YEAR($H69),MONTH($H69)+$G69,DAY($H69)),DATE(YEAR($H69),MONTH($H69)+$G69+1,0)))</f>
        <v/>
      </c>
      <c r="J69" s="6" t="str">
        <f>IF($I69="","",$I69-TODAY())</f>
        <v/>
      </c>
      <c r="K69" s="9" t="str">
        <f>IF($F69="","",IF(NOT(ISNUMBER($G69)),"Hors champ",IF($H69="","À renseigner",IF($J69&lt;0,"Dépassée",IF($J69&lt;=30,"À planifier","À jour")))))</f>
        <v/>
      </c>
      <c r="L69" s="5"/>
      <c r="M69" s="5"/>
      <c r="N69" s="5"/>
    </row>
    <row r="70" spans="1:14" x14ac:dyDescent="0.25">
      <c r="A70" s="5"/>
      <c r="B70" s="5"/>
      <c r="C70" s="5"/>
      <c r="D70" s="5"/>
      <c r="E70" s="5"/>
      <c r="F70" s="5"/>
      <c r="G70" s="6" t="str">
        <f>IF($F70="","",IF(ISNA(VLOOKUP($F70,'Référentiel VGP'!$A$2:$B$33,2,FALSE)),"",VLOOKUP($F70,'Référentiel VGP'!$A$2:$B$33,2,FALSE)))</f>
        <v/>
      </c>
      <c r="H70" s="7"/>
      <c r="I70" s="8" t="str">
        <f>IF(OR($H70="",NOT(ISNUMBER($G70))),"",MIN(DATE(YEAR($H70),MONTH($H70)+$G70,DAY($H70)),DATE(YEAR($H70),MONTH($H70)+$G70+1,0)))</f>
        <v/>
      </c>
      <c r="J70" s="6" t="str">
        <f>IF($I70="","",$I70-TODAY())</f>
        <v/>
      </c>
      <c r="K70" s="9" t="str">
        <f>IF($F70="","",IF(NOT(ISNUMBER($G70)),"Hors champ",IF($H70="","À renseigner",IF($J70&lt;0,"Dépassée",IF($J70&lt;=30,"À planifier","À jour")))))</f>
        <v/>
      </c>
      <c r="L70" s="5"/>
      <c r="M70" s="5"/>
      <c r="N70" s="5"/>
    </row>
    <row r="71" spans="1:14" x14ac:dyDescent="0.25">
      <c r="A71" s="5"/>
      <c r="B71" s="5"/>
      <c r="C71" s="5"/>
      <c r="D71" s="5"/>
      <c r="E71" s="5"/>
      <c r="F71" s="5"/>
      <c r="G71" s="6" t="str">
        <f>IF($F71="","",IF(ISNA(VLOOKUP($F71,'Référentiel VGP'!$A$2:$B$33,2,FALSE)),"",VLOOKUP($F71,'Référentiel VGP'!$A$2:$B$33,2,FALSE)))</f>
        <v/>
      </c>
      <c r="H71" s="7"/>
      <c r="I71" s="8" t="str">
        <f>IF(OR($H71="",NOT(ISNUMBER($G71))),"",MIN(DATE(YEAR($H71),MONTH($H71)+$G71,DAY($H71)),DATE(YEAR($H71),MONTH($H71)+$G71+1,0)))</f>
        <v/>
      </c>
      <c r="J71" s="6" t="str">
        <f>IF($I71="","",$I71-TODAY())</f>
        <v/>
      </c>
      <c r="K71" s="9" t="str">
        <f>IF($F71="","",IF(NOT(ISNUMBER($G71)),"Hors champ",IF($H71="","À renseigner",IF($J71&lt;0,"Dépassée",IF($J71&lt;=30,"À planifier","À jour")))))</f>
        <v/>
      </c>
      <c r="L71" s="5"/>
      <c r="M71" s="5"/>
      <c r="N71" s="5"/>
    </row>
    <row r="72" spans="1:14" x14ac:dyDescent="0.25">
      <c r="A72" s="5"/>
      <c r="B72" s="5"/>
      <c r="C72" s="5"/>
      <c r="D72" s="5"/>
      <c r="E72" s="5"/>
      <c r="F72" s="5"/>
      <c r="G72" s="6" t="str">
        <f>IF($F72="","",IF(ISNA(VLOOKUP($F72,'Référentiel VGP'!$A$2:$B$33,2,FALSE)),"",VLOOKUP($F72,'Référentiel VGP'!$A$2:$B$33,2,FALSE)))</f>
        <v/>
      </c>
      <c r="H72" s="7"/>
      <c r="I72" s="8" t="str">
        <f>IF(OR($H72="",NOT(ISNUMBER($G72))),"",MIN(DATE(YEAR($H72),MONTH($H72)+$G72,DAY($H72)),DATE(YEAR($H72),MONTH($H72)+$G72+1,0)))</f>
        <v/>
      </c>
      <c r="J72" s="6" t="str">
        <f>IF($I72="","",$I72-TODAY())</f>
        <v/>
      </c>
      <c r="K72" s="9" t="str">
        <f>IF($F72="","",IF(NOT(ISNUMBER($G72)),"Hors champ",IF($H72="","À renseigner",IF($J72&lt;0,"Dépassée",IF($J72&lt;=30,"À planifier","À jour")))))</f>
        <v/>
      </c>
      <c r="L72" s="5"/>
      <c r="M72" s="5"/>
      <c r="N72" s="5"/>
    </row>
    <row r="73" spans="1:14" x14ac:dyDescent="0.25">
      <c r="A73" s="5"/>
      <c r="B73" s="5"/>
      <c r="C73" s="5"/>
      <c r="D73" s="5"/>
      <c r="E73" s="5"/>
      <c r="F73" s="5"/>
      <c r="G73" s="6" t="str">
        <f>IF($F73="","",IF(ISNA(VLOOKUP($F73,'Référentiel VGP'!$A$2:$B$33,2,FALSE)),"",VLOOKUP($F73,'Référentiel VGP'!$A$2:$B$33,2,FALSE)))</f>
        <v/>
      </c>
      <c r="H73" s="7"/>
      <c r="I73" s="8" t="str">
        <f>IF(OR($H73="",NOT(ISNUMBER($G73))),"",MIN(DATE(YEAR($H73),MONTH($H73)+$G73,DAY($H73)),DATE(YEAR($H73),MONTH($H73)+$G73+1,0)))</f>
        <v/>
      </c>
      <c r="J73" s="6" t="str">
        <f>IF($I73="","",$I73-TODAY())</f>
        <v/>
      </c>
      <c r="K73" s="9" t="str">
        <f>IF($F73="","",IF(NOT(ISNUMBER($G73)),"Hors champ",IF($H73="","À renseigner",IF($J73&lt;0,"Dépassée",IF($J73&lt;=30,"À planifier","À jour")))))</f>
        <v/>
      </c>
      <c r="L73" s="5"/>
      <c r="M73" s="5"/>
      <c r="N73" s="5"/>
    </row>
    <row r="74" spans="1:14" x14ac:dyDescent="0.25">
      <c r="A74" s="5"/>
      <c r="B74" s="5"/>
      <c r="C74" s="5"/>
      <c r="D74" s="5"/>
      <c r="E74" s="5"/>
      <c r="F74" s="5"/>
      <c r="G74" s="6" t="str">
        <f>IF($F74="","",IF(ISNA(VLOOKUP($F74,'Référentiel VGP'!$A$2:$B$33,2,FALSE)),"",VLOOKUP($F74,'Référentiel VGP'!$A$2:$B$33,2,FALSE)))</f>
        <v/>
      </c>
      <c r="H74" s="7"/>
      <c r="I74" s="8" t="str">
        <f>IF(OR($H74="",NOT(ISNUMBER($G74))),"",MIN(DATE(YEAR($H74),MONTH($H74)+$G74,DAY($H74)),DATE(YEAR($H74),MONTH($H74)+$G74+1,0)))</f>
        <v/>
      </c>
      <c r="J74" s="6" t="str">
        <f>IF($I74="","",$I74-TODAY())</f>
        <v/>
      </c>
      <c r="K74" s="9" t="str">
        <f>IF($F74="","",IF(NOT(ISNUMBER($G74)),"Hors champ",IF($H74="","À renseigner",IF($J74&lt;0,"Dépassée",IF($J74&lt;=30,"À planifier","À jour")))))</f>
        <v/>
      </c>
      <c r="L74" s="5"/>
      <c r="M74" s="5"/>
      <c r="N74" s="5"/>
    </row>
    <row r="75" spans="1:14" x14ac:dyDescent="0.25">
      <c r="A75" s="5"/>
      <c r="B75" s="5"/>
      <c r="C75" s="5"/>
      <c r="D75" s="5"/>
      <c r="E75" s="5"/>
      <c r="F75" s="5"/>
      <c r="G75" s="6" t="str">
        <f>IF($F75="","",IF(ISNA(VLOOKUP($F75,'Référentiel VGP'!$A$2:$B$33,2,FALSE)),"",VLOOKUP($F75,'Référentiel VGP'!$A$2:$B$33,2,FALSE)))</f>
        <v/>
      </c>
      <c r="H75" s="7"/>
      <c r="I75" s="8" t="str">
        <f>IF(OR($H75="",NOT(ISNUMBER($G75))),"",MIN(DATE(YEAR($H75),MONTH($H75)+$G75,DAY($H75)),DATE(YEAR($H75),MONTH($H75)+$G75+1,0)))</f>
        <v/>
      </c>
      <c r="J75" s="6" t="str">
        <f>IF($I75="","",$I75-TODAY())</f>
        <v/>
      </c>
      <c r="K75" s="9" t="str">
        <f>IF($F75="","",IF(NOT(ISNUMBER($G75)),"Hors champ",IF($H75="","À renseigner",IF($J75&lt;0,"Dépassée",IF($J75&lt;=30,"À planifier","À jour")))))</f>
        <v/>
      </c>
      <c r="L75" s="5"/>
      <c r="M75" s="5"/>
      <c r="N75" s="5"/>
    </row>
    <row r="76" spans="1:14" x14ac:dyDescent="0.25">
      <c r="A76" s="5"/>
      <c r="B76" s="5"/>
      <c r="C76" s="5"/>
      <c r="D76" s="5"/>
      <c r="E76" s="5"/>
      <c r="F76" s="5"/>
      <c r="G76" s="6" t="str">
        <f>IF($F76="","",IF(ISNA(VLOOKUP($F76,'Référentiel VGP'!$A$2:$B$33,2,FALSE)),"",VLOOKUP($F76,'Référentiel VGP'!$A$2:$B$33,2,FALSE)))</f>
        <v/>
      </c>
      <c r="H76" s="7"/>
      <c r="I76" s="8" t="str">
        <f>IF(OR($H76="",NOT(ISNUMBER($G76))),"",MIN(DATE(YEAR($H76),MONTH($H76)+$G76,DAY($H76)),DATE(YEAR($H76),MONTH($H76)+$G76+1,0)))</f>
        <v/>
      </c>
      <c r="J76" s="6" t="str">
        <f>IF($I76="","",$I76-TODAY())</f>
        <v/>
      </c>
      <c r="K76" s="9" t="str">
        <f>IF($F76="","",IF(NOT(ISNUMBER($G76)),"Hors champ",IF($H76="","À renseigner",IF($J76&lt;0,"Dépassée",IF($J76&lt;=30,"À planifier","À jour")))))</f>
        <v/>
      </c>
      <c r="L76" s="5"/>
      <c r="M76" s="5"/>
      <c r="N76" s="5"/>
    </row>
    <row r="77" spans="1:14" x14ac:dyDescent="0.25">
      <c r="A77" s="5"/>
      <c r="B77" s="5"/>
      <c r="C77" s="5"/>
      <c r="D77" s="5"/>
      <c r="E77" s="5"/>
      <c r="F77" s="5"/>
      <c r="G77" s="6" t="str">
        <f>IF($F77="","",IF(ISNA(VLOOKUP($F77,'Référentiel VGP'!$A$2:$B$33,2,FALSE)),"",VLOOKUP($F77,'Référentiel VGP'!$A$2:$B$33,2,FALSE)))</f>
        <v/>
      </c>
      <c r="H77" s="7"/>
      <c r="I77" s="8" t="str">
        <f>IF(OR($H77="",NOT(ISNUMBER($G77))),"",MIN(DATE(YEAR($H77),MONTH($H77)+$G77,DAY($H77)),DATE(YEAR($H77),MONTH($H77)+$G77+1,0)))</f>
        <v/>
      </c>
      <c r="J77" s="6" t="str">
        <f>IF($I77="","",$I77-TODAY())</f>
        <v/>
      </c>
      <c r="K77" s="9" t="str">
        <f>IF($F77="","",IF(NOT(ISNUMBER($G77)),"Hors champ",IF($H77="","À renseigner",IF($J77&lt;0,"Dépassée",IF($J77&lt;=30,"À planifier","À jour")))))</f>
        <v/>
      </c>
      <c r="L77" s="5"/>
      <c r="M77" s="5"/>
      <c r="N77" s="5"/>
    </row>
    <row r="78" spans="1:14" x14ac:dyDescent="0.25">
      <c r="A78" s="5"/>
      <c r="B78" s="5"/>
      <c r="C78" s="5"/>
      <c r="D78" s="5"/>
      <c r="E78" s="5"/>
      <c r="F78" s="5"/>
      <c r="G78" s="6" t="str">
        <f>IF($F78="","",IF(ISNA(VLOOKUP($F78,'Référentiel VGP'!$A$2:$B$33,2,FALSE)),"",VLOOKUP($F78,'Référentiel VGP'!$A$2:$B$33,2,FALSE)))</f>
        <v/>
      </c>
      <c r="H78" s="7"/>
      <c r="I78" s="8" t="str">
        <f>IF(OR($H78="",NOT(ISNUMBER($G78))),"",MIN(DATE(YEAR($H78),MONTH($H78)+$G78,DAY($H78)),DATE(YEAR($H78),MONTH($H78)+$G78+1,0)))</f>
        <v/>
      </c>
      <c r="J78" s="6" t="str">
        <f>IF($I78="","",$I78-TODAY())</f>
        <v/>
      </c>
      <c r="K78" s="9" t="str">
        <f>IF($F78="","",IF(NOT(ISNUMBER($G78)),"Hors champ",IF($H78="","À renseigner",IF($J78&lt;0,"Dépassée",IF($J78&lt;=30,"À planifier","À jour")))))</f>
        <v/>
      </c>
      <c r="L78" s="5"/>
      <c r="M78" s="5"/>
      <c r="N78" s="5"/>
    </row>
    <row r="79" spans="1:14" x14ac:dyDescent="0.25">
      <c r="A79" s="5"/>
      <c r="B79" s="5"/>
      <c r="C79" s="5"/>
      <c r="D79" s="5"/>
      <c r="E79" s="5"/>
      <c r="F79" s="5"/>
      <c r="G79" s="6" t="str">
        <f>IF($F79="","",IF(ISNA(VLOOKUP($F79,'Référentiel VGP'!$A$2:$B$33,2,FALSE)),"",VLOOKUP($F79,'Référentiel VGP'!$A$2:$B$33,2,FALSE)))</f>
        <v/>
      </c>
      <c r="H79" s="7"/>
      <c r="I79" s="8" t="str">
        <f>IF(OR($H79="",NOT(ISNUMBER($G79))),"",MIN(DATE(YEAR($H79),MONTH($H79)+$G79,DAY($H79)),DATE(YEAR($H79),MONTH($H79)+$G79+1,0)))</f>
        <v/>
      </c>
      <c r="J79" s="6" t="str">
        <f>IF($I79="","",$I79-TODAY())</f>
        <v/>
      </c>
      <c r="K79" s="9" t="str">
        <f>IF($F79="","",IF(NOT(ISNUMBER($G79)),"Hors champ",IF($H79="","À renseigner",IF($J79&lt;0,"Dépassée",IF($J79&lt;=30,"À planifier","À jour")))))</f>
        <v/>
      </c>
      <c r="L79" s="5"/>
      <c r="M79" s="5"/>
      <c r="N79" s="5"/>
    </row>
    <row r="80" spans="1:14" x14ac:dyDescent="0.25">
      <c r="A80" s="5"/>
      <c r="B80" s="5"/>
      <c r="C80" s="5"/>
      <c r="D80" s="5"/>
      <c r="E80" s="5"/>
      <c r="F80" s="5"/>
      <c r="G80" s="6" t="str">
        <f>IF($F80="","",IF(ISNA(VLOOKUP($F80,'Référentiel VGP'!$A$2:$B$33,2,FALSE)),"",VLOOKUP($F80,'Référentiel VGP'!$A$2:$B$33,2,FALSE)))</f>
        <v/>
      </c>
      <c r="H80" s="7"/>
      <c r="I80" s="8" t="str">
        <f>IF(OR($H80="",NOT(ISNUMBER($G80))),"",MIN(DATE(YEAR($H80),MONTH($H80)+$G80,DAY($H80)),DATE(YEAR($H80),MONTH($H80)+$G80+1,0)))</f>
        <v/>
      </c>
      <c r="J80" s="6" t="str">
        <f>IF($I80="","",$I80-TODAY())</f>
        <v/>
      </c>
      <c r="K80" s="9" t="str">
        <f>IF($F80="","",IF(NOT(ISNUMBER($G80)),"Hors champ",IF($H80="","À renseigner",IF($J80&lt;0,"Dépassée",IF($J80&lt;=30,"À planifier","À jour")))))</f>
        <v/>
      </c>
      <c r="L80" s="5"/>
      <c r="M80" s="5"/>
      <c r="N80" s="5"/>
    </row>
    <row r="81" spans="1:14" x14ac:dyDescent="0.25">
      <c r="A81" s="5"/>
      <c r="B81" s="5"/>
      <c r="C81" s="5"/>
      <c r="D81" s="5"/>
      <c r="E81" s="5"/>
      <c r="F81" s="5"/>
      <c r="G81" s="6" t="str">
        <f>IF($F81="","",IF(ISNA(VLOOKUP($F81,'Référentiel VGP'!$A$2:$B$33,2,FALSE)),"",VLOOKUP($F81,'Référentiel VGP'!$A$2:$B$33,2,FALSE)))</f>
        <v/>
      </c>
      <c r="H81" s="7"/>
      <c r="I81" s="8" t="str">
        <f>IF(OR($H81="",NOT(ISNUMBER($G81))),"",MIN(DATE(YEAR($H81),MONTH($H81)+$G81,DAY($H81)),DATE(YEAR($H81),MONTH($H81)+$G81+1,0)))</f>
        <v/>
      </c>
      <c r="J81" s="6" t="str">
        <f>IF($I81="","",$I81-TODAY())</f>
        <v/>
      </c>
      <c r="K81" s="9" t="str">
        <f>IF($F81="","",IF(NOT(ISNUMBER($G81)),"Hors champ",IF($H81="","À renseigner",IF($J81&lt;0,"Dépassée",IF($J81&lt;=30,"À planifier","À jour")))))</f>
        <v/>
      </c>
      <c r="L81" s="5"/>
      <c r="M81" s="5"/>
      <c r="N81" s="5"/>
    </row>
    <row r="82" spans="1:14" x14ac:dyDescent="0.25">
      <c r="A82" s="5"/>
      <c r="B82" s="5"/>
      <c r="C82" s="5"/>
      <c r="D82" s="5"/>
      <c r="E82" s="5"/>
      <c r="F82" s="5"/>
      <c r="G82" s="6" t="str">
        <f>IF($F82="","",IF(ISNA(VLOOKUP($F82,'Référentiel VGP'!$A$2:$B$33,2,FALSE)),"",VLOOKUP($F82,'Référentiel VGP'!$A$2:$B$33,2,FALSE)))</f>
        <v/>
      </c>
      <c r="H82" s="7"/>
      <c r="I82" s="8" t="str">
        <f>IF(OR($H82="",NOT(ISNUMBER($G82))),"",MIN(DATE(YEAR($H82),MONTH($H82)+$G82,DAY($H82)),DATE(YEAR($H82),MONTH($H82)+$G82+1,0)))</f>
        <v/>
      </c>
      <c r="J82" s="6" t="str">
        <f>IF($I82="","",$I82-TODAY())</f>
        <v/>
      </c>
      <c r="K82" s="9" t="str">
        <f>IF($F82="","",IF(NOT(ISNUMBER($G82)),"Hors champ",IF($H82="","À renseigner",IF($J82&lt;0,"Dépassée",IF($J82&lt;=30,"À planifier","À jour")))))</f>
        <v/>
      </c>
      <c r="L82" s="5"/>
      <c r="M82" s="5"/>
      <c r="N82" s="5"/>
    </row>
    <row r="83" spans="1:14" x14ac:dyDescent="0.25">
      <c r="A83" s="5"/>
      <c r="B83" s="5"/>
      <c r="C83" s="5"/>
      <c r="D83" s="5"/>
      <c r="E83" s="5"/>
      <c r="F83" s="5"/>
      <c r="G83" s="6" t="str">
        <f>IF($F83="","",IF(ISNA(VLOOKUP($F83,'Référentiel VGP'!$A$2:$B$33,2,FALSE)),"",VLOOKUP($F83,'Référentiel VGP'!$A$2:$B$33,2,FALSE)))</f>
        <v/>
      </c>
      <c r="H83" s="7"/>
      <c r="I83" s="8" t="str">
        <f>IF(OR($H83="",NOT(ISNUMBER($G83))),"",MIN(DATE(YEAR($H83),MONTH($H83)+$G83,DAY($H83)),DATE(YEAR($H83),MONTH($H83)+$G83+1,0)))</f>
        <v/>
      </c>
      <c r="J83" s="6" t="str">
        <f>IF($I83="","",$I83-TODAY())</f>
        <v/>
      </c>
      <c r="K83" s="9" t="str">
        <f>IF($F83="","",IF(NOT(ISNUMBER($G83)),"Hors champ",IF($H83="","À renseigner",IF($J83&lt;0,"Dépassée",IF($J83&lt;=30,"À planifier","À jour")))))</f>
        <v/>
      </c>
      <c r="L83" s="5"/>
      <c r="M83" s="5"/>
      <c r="N83" s="5"/>
    </row>
    <row r="84" spans="1:14" x14ac:dyDescent="0.25">
      <c r="A84" s="5"/>
      <c r="B84" s="5"/>
      <c r="C84" s="5"/>
      <c r="D84" s="5"/>
      <c r="E84" s="5"/>
      <c r="F84" s="5"/>
      <c r="G84" s="6" t="str">
        <f>IF($F84="","",IF(ISNA(VLOOKUP($F84,'Référentiel VGP'!$A$2:$B$33,2,FALSE)),"",VLOOKUP($F84,'Référentiel VGP'!$A$2:$B$33,2,FALSE)))</f>
        <v/>
      </c>
      <c r="H84" s="7"/>
      <c r="I84" s="8" t="str">
        <f>IF(OR($H84="",NOT(ISNUMBER($G84))),"",MIN(DATE(YEAR($H84),MONTH($H84)+$G84,DAY($H84)),DATE(YEAR($H84),MONTH($H84)+$G84+1,0)))</f>
        <v/>
      </c>
      <c r="J84" s="6" t="str">
        <f>IF($I84="","",$I84-TODAY())</f>
        <v/>
      </c>
      <c r="K84" s="9" t="str">
        <f>IF($F84="","",IF(NOT(ISNUMBER($G84)),"Hors champ",IF($H84="","À renseigner",IF($J84&lt;0,"Dépassée",IF($J84&lt;=30,"À planifier","À jour")))))</f>
        <v/>
      </c>
      <c r="L84" s="5"/>
      <c r="M84" s="5"/>
      <c r="N84" s="5"/>
    </row>
    <row r="85" spans="1:14" x14ac:dyDescent="0.25">
      <c r="A85" s="5"/>
      <c r="B85" s="5"/>
      <c r="C85" s="5"/>
      <c r="D85" s="5"/>
      <c r="E85" s="5"/>
      <c r="F85" s="5"/>
      <c r="G85" s="6" t="str">
        <f>IF($F85="","",IF(ISNA(VLOOKUP($F85,'Référentiel VGP'!$A$2:$B$33,2,FALSE)),"",VLOOKUP($F85,'Référentiel VGP'!$A$2:$B$33,2,FALSE)))</f>
        <v/>
      </c>
      <c r="H85" s="7"/>
      <c r="I85" s="8" t="str">
        <f>IF(OR($H85="",NOT(ISNUMBER($G85))),"",MIN(DATE(YEAR($H85),MONTH($H85)+$G85,DAY($H85)),DATE(YEAR($H85),MONTH($H85)+$G85+1,0)))</f>
        <v/>
      </c>
      <c r="J85" s="6" t="str">
        <f>IF($I85="","",$I85-TODAY())</f>
        <v/>
      </c>
      <c r="K85" s="9" t="str">
        <f>IF($F85="","",IF(NOT(ISNUMBER($G85)),"Hors champ",IF($H85="","À renseigner",IF($J85&lt;0,"Dépassée",IF($J85&lt;=30,"À planifier","À jour")))))</f>
        <v/>
      </c>
      <c r="L85" s="5"/>
      <c r="M85" s="5"/>
      <c r="N85" s="5"/>
    </row>
    <row r="86" spans="1:14" x14ac:dyDescent="0.25">
      <c r="A86" s="5"/>
      <c r="B86" s="5"/>
      <c r="C86" s="5"/>
      <c r="D86" s="5"/>
      <c r="E86" s="5"/>
      <c r="F86" s="5"/>
      <c r="G86" s="6" t="str">
        <f>IF($F86="","",IF(ISNA(VLOOKUP($F86,'Référentiel VGP'!$A$2:$B$33,2,FALSE)),"",VLOOKUP($F86,'Référentiel VGP'!$A$2:$B$33,2,FALSE)))</f>
        <v/>
      </c>
      <c r="H86" s="7"/>
      <c r="I86" s="8" t="str">
        <f>IF(OR($H86="",NOT(ISNUMBER($G86))),"",MIN(DATE(YEAR($H86),MONTH($H86)+$G86,DAY($H86)),DATE(YEAR($H86),MONTH($H86)+$G86+1,0)))</f>
        <v/>
      </c>
      <c r="J86" s="6" t="str">
        <f>IF($I86="","",$I86-TODAY())</f>
        <v/>
      </c>
      <c r="K86" s="9" t="str">
        <f>IF($F86="","",IF(NOT(ISNUMBER($G86)),"Hors champ",IF($H86="","À renseigner",IF($J86&lt;0,"Dépassée",IF($J86&lt;=30,"À planifier","À jour")))))</f>
        <v/>
      </c>
      <c r="L86" s="5"/>
      <c r="M86" s="5"/>
      <c r="N86" s="5"/>
    </row>
    <row r="87" spans="1:14" x14ac:dyDescent="0.25">
      <c r="A87" s="5"/>
      <c r="B87" s="5"/>
      <c r="C87" s="5"/>
      <c r="D87" s="5"/>
      <c r="E87" s="5"/>
      <c r="F87" s="5"/>
      <c r="G87" s="6" t="str">
        <f>IF($F87="","",IF(ISNA(VLOOKUP($F87,'Référentiel VGP'!$A$2:$B$33,2,FALSE)),"",VLOOKUP($F87,'Référentiel VGP'!$A$2:$B$33,2,FALSE)))</f>
        <v/>
      </c>
      <c r="H87" s="7"/>
      <c r="I87" s="8" t="str">
        <f>IF(OR($H87="",NOT(ISNUMBER($G87))),"",MIN(DATE(YEAR($H87),MONTH($H87)+$G87,DAY($H87)),DATE(YEAR($H87),MONTH($H87)+$G87+1,0)))</f>
        <v/>
      </c>
      <c r="J87" s="6" t="str">
        <f>IF($I87="","",$I87-TODAY())</f>
        <v/>
      </c>
      <c r="K87" s="9" t="str">
        <f>IF($F87="","",IF(NOT(ISNUMBER($G87)),"Hors champ",IF($H87="","À renseigner",IF($J87&lt;0,"Dépassée",IF($J87&lt;=30,"À planifier","À jour")))))</f>
        <v/>
      </c>
      <c r="L87" s="5"/>
      <c r="M87" s="5"/>
      <c r="N87" s="5"/>
    </row>
    <row r="88" spans="1:14" x14ac:dyDescent="0.25">
      <c r="A88" s="5"/>
      <c r="B88" s="5"/>
      <c r="C88" s="5"/>
      <c r="D88" s="5"/>
      <c r="E88" s="5"/>
      <c r="F88" s="5"/>
      <c r="G88" s="6" t="str">
        <f>IF($F88="","",IF(ISNA(VLOOKUP($F88,'Référentiel VGP'!$A$2:$B$33,2,FALSE)),"",VLOOKUP($F88,'Référentiel VGP'!$A$2:$B$33,2,FALSE)))</f>
        <v/>
      </c>
      <c r="H88" s="7"/>
      <c r="I88" s="8" t="str">
        <f>IF(OR($H88="",NOT(ISNUMBER($G88))),"",MIN(DATE(YEAR($H88),MONTH($H88)+$G88,DAY($H88)),DATE(YEAR($H88),MONTH($H88)+$G88+1,0)))</f>
        <v/>
      </c>
      <c r="J88" s="6" t="str">
        <f>IF($I88="","",$I88-TODAY())</f>
        <v/>
      </c>
      <c r="K88" s="9" t="str">
        <f>IF($F88="","",IF(NOT(ISNUMBER($G88)),"Hors champ",IF($H88="","À renseigner",IF($J88&lt;0,"Dépassée",IF($J88&lt;=30,"À planifier","À jour")))))</f>
        <v/>
      </c>
      <c r="L88" s="5"/>
      <c r="M88" s="5"/>
      <c r="N88" s="5"/>
    </row>
    <row r="89" spans="1:14" x14ac:dyDescent="0.25">
      <c r="A89" s="5"/>
      <c r="B89" s="5"/>
      <c r="C89" s="5"/>
      <c r="D89" s="5"/>
      <c r="E89" s="5"/>
      <c r="F89" s="5"/>
      <c r="G89" s="6" t="str">
        <f>IF($F89="","",IF(ISNA(VLOOKUP($F89,'Référentiel VGP'!$A$2:$B$33,2,FALSE)),"",VLOOKUP($F89,'Référentiel VGP'!$A$2:$B$33,2,FALSE)))</f>
        <v/>
      </c>
      <c r="H89" s="7"/>
      <c r="I89" s="8" t="str">
        <f>IF(OR($H89="",NOT(ISNUMBER($G89))),"",MIN(DATE(YEAR($H89),MONTH($H89)+$G89,DAY($H89)),DATE(YEAR($H89),MONTH($H89)+$G89+1,0)))</f>
        <v/>
      </c>
      <c r="J89" s="6" t="str">
        <f>IF($I89="","",$I89-TODAY())</f>
        <v/>
      </c>
      <c r="K89" s="9" t="str">
        <f>IF($F89="","",IF(NOT(ISNUMBER($G89)),"Hors champ",IF($H89="","À renseigner",IF($J89&lt;0,"Dépassée",IF($J89&lt;=30,"À planifier","À jour")))))</f>
        <v/>
      </c>
      <c r="L89" s="5"/>
      <c r="M89" s="5"/>
      <c r="N89" s="5"/>
    </row>
    <row r="90" spans="1:14" x14ac:dyDescent="0.25">
      <c r="A90" s="5"/>
      <c r="B90" s="5"/>
      <c r="C90" s="5"/>
      <c r="D90" s="5"/>
      <c r="E90" s="5"/>
      <c r="F90" s="5"/>
      <c r="G90" s="6" t="str">
        <f>IF($F90="","",IF(ISNA(VLOOKUP($F90,'Référentiel VGP'!$A$2:$B$33,2,FALSE)),"",VLOOKUP($F90,'Référentiel VGP'!$A$2:$B$33,2,FALSE)))</f>
        <v/>
      </c>
      <c r="H90" s="7"/>
      <c r="I90" s="8" t="str">
        <f>IF(OR($H90="",NOT(ISNUMBER($G90))),"",MIN(DATE(YEAR($H90),MONTH($H90)+$G90,DAY($H90)),DATE(YEAR($H90),MONTH($H90)+$G90+1,0)))</f>
        <v/>
      </c>
      <c r="J90" s="6" t="str">
        <f>IF($I90="","",$I90-TODAY())</f>
        <v/>
      </c>
      <c r="K90" s="9" t="str">
        <f>IF($F90="","",IF(NOT(ISNUMBER($G90)),"Hors champ",IF($H90="","À renseigner",IF($J90&lt;0,"Dépassée",IF($J90&lt;=30,"À planifier","À jour")))))</f>
        <v/>
      </c>
      <c r="L90" s="5"/>
      <c r="M90" s="5"/>
      <c r="N90" s="5"/>
    </row>
    <row r="91" spans="1:14" x14ac:dyDescent="0.25">
      <c r="A91" s="5"/>
      <c r="B91" s="5"/>
      <c r="C91" s="5"/>
      <c r="D91" s="5"/>
      <c r="E91" s="5"/>
      <c r="F91" s="5"/>
      <c r="G91" s="6" t="str">
        <f>IF($F91="","",IF(ISNA(VLOOKUP($F91,'Référentiel VGP'!$A$2:$B$33,2,FALSE)),"",VLOOKUP($F91,'Référentiel VGP'!$A$2:$B$33,2,FALSE)))</f>
        <v/>
      </c>
      <c r="H91" s="7"/>
      <c r="I91" s="8" t="str">
        <f>IF(OR($H91="",NOT(ISNUMBER($G91))),"",MIN(DATE(YEAR($H91),MONTH($H91)+$G91,DAY($H91)),DATE(YEAR($H91),MONTH($H91)+$G91+1,0)))</f>
        <v/>
      </c>
      <c r="J91" s="6" t="str">
        <f>IF($I91="","",$I91-TODAY())</f>
        <v/>
      </c>
      <c r="K91" s="9" t="str">
        <f>IF($F91="","",IF(NOT(ISNUMBER($G91)),"Hors champ",IF($H91="","À renseigner",IF($J91&lt;0,"Dépassée",IF($J91&lt;=30,"À planifier","À jour")))))</f>
        <v/>
      </c>
      <c r="L91" s="5"/>
      <c r="M91" s="5"/>
      <c r="N91" s="5"/>
    </row>
    <row r="92" spans="1:14" x14ac:dyDescent="0.25">
      <c r="A92" s="5"/>
      <c r="B92" s="5"/>
      <c r="C92" s="5"/>
      <c r="D92" s="5"/>
      <c r="E92" s="5"/>
      <c r="F92" s="5"/>
      <c r="G92" s="6" t="str">
        <f>IF($F92="","",IF(ISNA(VLOOKUP($F92,'Référentiel VGP'!$A$2:$B$33,2,FALSE)),"",VLOOKUP($F92,'Référentiel VGP'!$A$2:$B$33,2,FALSE)))</f>
        <v/>
      </c>
      <c r="H92" s="7"/>
      <c r="I92" s="8" t="str">
        <f>IF(OR($H92="",NOT(ISNUMBER($G92))),"",MIN(DATE(YEAR($H92),MONTH($H92)+$G92,DAY($H92)),DATE(YEAR($H92),MONTH($H92)+$G92+1,0)))</f>
        <v/>
      </c>
      <c r="J92" s="6" t="str">
        <f>IF($I92="","",$I92-TODAY())</f>
        <v/>
      </c>
      <c r="K92" s="9" t="str">
        <f>IF($F92="","",IF(NOT(ISNUMBER($G92)),"Hors champ",IF($H92="","À renseigner",IF($J92&lt;0,"Dépassée",IF($J92&lt;=30,"À planifier","À jour")))))</f>
        <v/>
      </c>
      <c r="L92" s="5"/>
      <c r="M92" s="5"/>
      <c r="N92" s="5"/>
    </row>
    <row r="93" spans="1:14" x14ac:dyDescent="0.25">
      <c r="A93" s="5"/>
      <c r="B93" s="5"/>
      <c r="C93" s="5"/>
      <c r="D93" s="5"/>
      <c r="E93" s="5"/>
      <c r="F93" s="5"/>
      <c r="G93" s="6" t="str">
        <f>IF($F93="","",IF(ISNA(VLOOKUP($F93,'Référentiel VGP'!$A$2:$B$33,2,FALSE)),"",VLOOKUP($F93,'Référentiel VGP'!$A$2:$B$33,2,FALSE)))</f>
        <v/>
      </c>
      <c r="H93" s="7"/>
      <c r="I93" s="8" t="str">
        <f>IF(OR($H93="",NOT(ISNUMBER($G93))),"",MIN(DATE(YEAR($H93),MONTH($H93)+$G93,DAY($H93)),DATE(YEAR($H93),MONTH($H93)+$G93+1,0)))</f>
        <v/>
      </c>
      <c r="J93" s="6" t="str">
        <f>IF($I93="","",$I93-TODAY())</f>
        <v/>
      </c>
      <c r="K93" s="9" t="str">
        <f>IF($F93="","",IF(NOT(ISNUMBER($G93)),"Hors champ",IF($H93="","À renseigner",IF($J93&lt;0,"Dépassée",IF($J93&lt;=30,"À planifier","À jour")))))</f>
        <v/>
      </c>
      <c r="L93" s="5"/>
      <c r="M93" s="5"/>
      <c r="N93" s="5"/>
    </row>
    <row r="94" spans="1:14" x14ac:dyDescent="0.25">
      <c r="A94" s="5"/>
      <c r="B94" s="5"/>
      <c r="C94" s="5"/>
      <c r="D94" s="5"/>
      <c r="E94" s="5"/>
      <c r="F94" s="5"/>
      <c r="G94" s="6" t="str">
        <f>IF($F94="","",IF(ISNA(VLOOKUP($F94,'Référentiel VGP'!$A$2:$B$33,2,FALSE)),"",VLOOKUP($F94,'Référentiel VGP'!$A$2:$B$33,2,FALSE)))</f>
        <v/>
      </c>
      <c r="H94" s="7"/>
      <c r="I94" s="8" t="str">
        <f>IF(OR($H94="",NOT(ISNUMBER($G94))),"",MIN(DATE(YEAR($H94),MONTH($H94)+$G94,DAY($H94)),DATE(YEAR($H94),MONTH($H94)+$G94+1,0)))</f>
        <v/>
      </c>
      <c r="J94" s="6" t="str">
        <f>IF($I94="","",$I94-TODAY())</f>
        <v/>
      </c>
      <c r="K94" s="9" t="str">
        <f>IF($F94="","",IF(NOT(ISNUMBER($G94)),"Hors champ",IF($H94="","À renseigner",IF($J94&lt;0,"Dépassée",IF($J94&lt;=30,"À planifier","À jour")))))</f>
        <v/>
      </c>
      <c r="L94" s="5"/>
      <c r="M94" s="5"/>
      <c r="N94" s="5"/>
    </row>
    <row r="95" spans="1:14" x14ac:dyDescent="0.25">
      <c r="A95" s="5"/>
      <c r="B95" s="5"/>
      <c r="C95" s="5"/>
      <c r="D95" s="5"/>
      <c r="E95" s="5"/>
      <c r="F95" s="5"/>
      <c r="G95" s="6" t="str">
        <f>IF($F95="","",IF(ISNA(VLOOKUP($F95,'Référentiel VGP'!$A$2:$B$33,2,FALSE)),"",VLOOKUP($F95,'Référentiel VGP'!$A$2:$B$33,2,FALSE)))</f>
        <v/>
      </c>
      <c r="H95" s="7"/>
      <c r="I95" s="8" t="str">
        <f>IF(OR($H95="",NOT(ISNUMBER($G95))),"",MIN(DATE(YEAR($H95),MONTH($H95)+$G95,DAY($H95)),DATE(YEAR($H95),MONTH($H95)+$G95+1,0)))</f>
        <v/>
      </c>
      <c r="J95" s="6" t="str">
        <f>IF($I95="","",$I95-TODAY())</f>
        <v/>
      </c>
      <c r="K95" s="9" t="str">
        <f>IF($F95="","",IF(NOT(ISNUMBER($G95)),"Hors champ",IF($H95="","À renseigner",IF($J95&lt;0,"Dépassée",IF($J95&lt;=30,"À planifier","À jour")))))</f>
        <v/>
      </c>
      <c r="L95" s="5"/>
      <c r="M95" s="5"/>
      <c r="N95" s="5"/>
    </row>
    <row r="96" spans="1:14" x14ac:dyDescent="0.25">
      <c r="A96" s="5"/>
      <c r="B96" s="5"/>
      <c r="C96" s="5"/>
      <c r="D96" s="5"/>
      <c r="E96" s="5"/>
      <c r="F96" s="5"/>
      <c r="G96" s="6" t="str">
        <f>IF($F96="","",IF(ISNA(VLOOKUP($F96,'Référentiel VGP'!$A$2:$B$33,2,FALSE)),"",VLOOKUP($F96,'Référentiel VGP'!$A$2:$B$33,2,FALSE)))</f>
        <v/>
      </c>
      <c r="H96" s="7"/>
      <c r="I96" s="8" t="str">
        <f>IF(OR($H96="",NOT(ISNUMBER($G96))),"",MIN(DATE(YEAR($H96),MONTH($H96)+$G96,DAY($H96)),DATE(YEAR($H96),MONTH($H96)+$G96+1,0)))</f>
        <v/>
      </c>
      <c r="J96" s="6" t="str">
        <f>IF($I96="","",$I96-TODAY())</f>
        <v/>
      </c>
      <c r="K96" s="9" t="str">
        <f>IF($F96="","",IF(NOT(ISNUMBER($G96)),"Hors champ",IF($H96="","À renseigner",IF($J96&lt;0,"Dépassée",IF($J96&lt;=30,"À planifier","À jour")))))</f>
        <v/>
      </c>
      <c r="L96" s="5"/>
      <c r="M96" s="5"/>
      <c r="N96" s="5"/>
    </row>
    <row r="97" spans="1:14" x14ac:dyDescent="0.25">
      <c r="A97" s="5"/>
      <c r="B97" s="5"/>
      <c r="C97" s="5"/>
      <c r="D97" s="5"/>
      <c r="E97" s="5"/>
      <c r="F97" s="5"/>
      <c r="G97" s="6" t="str">
        <f>IF($F97="","",IF(ISNA(VLOOKUP($F97,'Référentiel VGP'!$A$2:$B$33,2,FALSE)),"",VLOOKUP($F97,'Référentiel VGP'!$A$2:$B$33,2,FALSE)))</f>
        <v/>
      </c>
      <c r="H97" s="7"/>
      <c r="I97" s="8" t="str">
        <f>IF(OR($H97="",NOT(ISNUMBER($G97))),"",MIN(DATE(YEAR($H97),MONTH($H97)+$G97,DAY($H97)),DATE(YEAR($H97),MONTH($H97)+$G97+1,0)))</f>
        <v/>
      </c>
      <c r="J97" s="6" t="str">
        <f>IF($I97="","",$I97-TODAY())</f>
        <v/>
      </c>
      <c r="K97" s="9" t="str">
        <f>IF($F97="","",IF(NOT(ISNUMBER($G97)),"Hors champ",IF($H97="","À renseigner",IF($J97&lt;0,"Dépassée",IF($J97&lt;=30,"À planifier","À jour")))))</f>
        <v/>
      </c>
      <c r="L97" s="5"/>
      <c r="M97" s="5"/>
      <c r="N97" s="5"/>
    </row>
    <row r="98" spans="1:14" x14ac:dyDescent="0.25">
      <c r="A98" s="5"/>
      <c r="B98" s="5"/>
      <c r="C98" s="5"/>
      <c r="D98" s="5"/>
      <c r="E98" s="5"/>
      <c r="F98" s="5"/>
      <c r="G98" s="6" t="str">
        <f>IF($F98="","",IF(ISNA(VLOOKUP($F98,'Référentiel VGP'!$A$2:$B$33,2,FALSE)),"",VLOOKUP($F98,'Référentiel VGP'!$A$2:$B$33,2,FALSE)))</f>
        <v/>
      </c>
      <c r="H98" s="7"/>
      <c r="I98" s="8" t="str">
        <f>IF(OR($H98="",NOT(ISNUMBER($G98))),"",MIN(DATE(YEAR($H98),MONTH($H98)+$G98,DAY($H98)),DATE(YEAR($H98),MONTH($H98)+$G98+1,0)))</f>
        <v/>
      </c>
      <c r="J98" s="6" t="str">
        <f>IF($I98="","",$I98-TODAY())</f>
        <v/>
      </c>
      <c r="K98" s="9" t="str">
        <f>IF($F98="","",IF(NOT(ISNUMBER($G98)),"Hors champ",IF($H98="","À renseigner",IF($J98&lt;0,"Dépassée",IF($J98&lt;=30,"À planifier","À jour")))))</f>
        <v/>
      </c>
      <c r="L98" s="5"/>
      <c r="M98" s="5"/>
      <c r="N98" s="5"/>
    </row>
    <row r="99" spans="1:14" x14ac:dyDescent="0.25">
      <c r="A99" s="5"/>
      <c r="B99" s="5"/>
      <c r="C99" s="5"/>
      <c r="D99" s="5"/>
      <c r="E99" s="5"/>
      <c r="F99" s="5"/>
      <c r="G99" s="6" t="str">
        <f>IF($F99="","",IF(ISNA(VLOOKUP($F99,'Référentiel VGP'!$A$2:$B$33,2,FALSE)),"",VLOOKUP($F99,'Référentiel VGP'!$A$2:$B$33,2,FALSE)))</f>
        <v/>
      </c>
      <c r="H99" s="7"/>
      <c r="I99" s="8" t="str">
        <f>IF(OR($H99="",NOT(ISNUMBER($G99))),"",MIN(DATE(YEAR($H99),MONTH($H99)+$G99,DAY($H99)),DATE(YEAR($H99),MONTH($H99)+$G99+1,0)))</f>
        <v/>
      </c>
      <c r="J99" s="6" t="str">
        <f>IF($I99="","",$I99-TODAY())</f>
        <v/>
      </c>
      <c r="K99" s="9" t="str">
        <f>IF($F99="","",IF(NOT(ISNUMBER($G99)),"Hors champ",IF($H99="","À renseigner",IF($J99&lt;0,"Dépassée",IF($J99&lt;=30,"À planifier","À jour")))))</f>
        <v/>
      </c>
      <c r="L99" s="5"/>
      <c r="M99" s="5"/>
      <c r="N99" s="5"/>
    </row>
    <row r="100" spans="1:14" x14ac:dyDescent="0.25">
      <c r="A100" s="5"/>
      <c r="B100" s="5"/>
      <c r="C100" s="5"/>
      <c r="D100" s="5"/>
      <c r="E100" s="5"/>
      <c r="F100" s="5"/>
      <c r="G100" s="6" t="str">
        <f>IF($F100="","",IF(ISNA(VLOOKUP($F100,'Référentiel VGP'!$A$2:$B$33,2,FALSE)),"",VLOOKUP($F100,'Référentiel VGP'!$A$2:$B$33,2,FALSE)))</f>
        <v/>
      </c>
      <c r="H100" s="7"/>
      <c r="I100" s="8" t="str">
        <f>IF(OR($H100="",NOT(ISNUMBER($G100))),"",MIN(DATE(YEAR($H100),MONTH($H100)+$G100,DAY($H100)),DATE(YEAR($H100),MONTH($H100)+$G100+1,0)))</f>
        <v/>
      </c>
      <c r="J100" s="6" t="str">
        <f>IF($I100="","",$I100-TODAY())</f>
        <v/>
      </c>
      <c r="K100" s="9" t="str">
        <f>IF($F100="","",IF(NOT(ISNUMBER($G100)),"Hors champ",IF($H100="","À renseigner",IF($J100&lt;0,"Dépassée",IF($J100&lt;=30,"À planifier","À jour")))))</f>
        <v/>
      </c>
      <c r="L100" s="5"/>
      <c r="M100" s="5"/>
      <c r="N100" s="5"/>
    </row>
    <row r="101" spans="1:14" x14ac:dyDescent="0.25">
      <c r="A101" s="5"/>
      <c r="B101" s="5"/>
      <c r="C101" s="5"/>
      <c r="D101" s="5"/>
      <c r="E101" s="5"/>
      <c r="F101" s="5"/>
      <c r="G101" s="6" t="str">
        <f>IF($F101="","",IF(ISNA(VLOOKUP($F101,'Référentiel VGP'!$A$2:$B$33,2,FALSE)),"",VLOOKUP($F101,'Référentiel VGP'!$A$2:$B$33,2,FALSE)))</f>
        <v/>
      </c>
      <c r="H101" s="7"/>
      <c r="I101" s="8" t="str">
        <f>IF(OR($H101="",NOT(ISNUMBER($G101))),"",MIN(DATE(YEAR($H101),MONTH($H101)+$G101,DAY($H101)),DATE(YEAR($H101),MONTH($H101)+$G101+1,0)))</f>
        <v/>
      </c>
      <c r="J101" s="6" t="str">
        <f>IF($I101="","",$I101-TODAY())</f>
        <v/>
      </c>
      <c r="K101" s="9" t="str">
        <f>IF($F101="","",IF(NOT(ISNUMBER($G101)),"Hors champ",IF($H101="","À renseigner",IF($J101&lt;0,"Dépassée",IF($J101&lt;=30,"À planifier","À jour")))))</f>
        <v/>
      </c>
      <c r="L101" s="5"/>
      <c r="M101" s="5"/>
      <c r="N101" s="5"/>
    </row>
    <row r="102" spans="1:14" x14ac:dyDescent="0.25">
      <c r="A102" s="5"/>
      <c r="B102" s="5"/>
      <c r="C102" s="5"/>
      <c r="D102" s="5"/>
      <c r="E102" s="5"/>
      <c r="F102" s="5"/>
      <c r="G102" s="6" t="str">
        <f>IF($F102="","",IF(ISNA(VLOOKUP($F102,'Référentiel VGP'!$A$2:$B$33,2,FALSE)),"",VLOOKUP($F102,'Référentiel VGP'!$A$2:$B$33,2,FALSE)))</f>
        <v/>
      </c>
      <c r="H102" s="7"/>
      <c r="I102" s="8" t="str">
        <f>IF(OR($H102="",NOT(ISNUMBER($G102))),"",MIN(DATE(YEAR($H102),MONTH($H102)+$G102,DAY($H102)),DATE(YEAR($H102),MONTH($H102)+$G102+1,0)))</f>
        <v/>
      </c>
      <c r="J102" s="6" t="str">
        <f>IF($I102="","",$I102-TODAY())</f>
        <v/>
      </c>
      <c r="K102" s="9" t="str">
        <f>IF($F102="","",IF(NOT(ISNUMBER($G102)),"Hors champ",IF($H102="","À renseigner",IF($J102&lt;0,"Dépassée",IF($J102&lt;=30,"À planifier","À jour")))))</f>
        <v/>
      </c>
      <c r="L102" s="5"/>
      <c r="M102" s="5"/>
      <c r="N102" s="5"/>
    </row>
    <row r="103" spans="1:14" x14ac:dyDescent="0.25">
      <c r="A103" s="5"/>
      <c r="B103" s="5"/>
      <c r="C103" s="5"/>
      <c r="D103" s="5"/>
      <c r="E103" s="5"/>
      <c r="F103" s="5"/>
      <c r="G103" s="6" t="str">
        <f>IF($F103="","",IF(ISNA(VLOOKUP($F103,'Référentiel VGP'!$A$2:$B$33,2,FALSE)),"",VLOOKUP($F103,'Référentiel VGP'!$A$2:$B$33,2,FALSE)))</f>
        <v/>
      </c>
      <c r="H103" s="7"/>
      <c r="I103" s="8" t="str">
        <f>IF(OR($H103="",NOT(ISNUMBER($G103))),"",MIN(DATE(YEAR($H103),MONTH($H103)+$G103,DAY($H103)),DATE(YEAR($H103),MONTH($H103)+$G103+1,0)))</f>
        <v/>
      </c>
      <c r="J103" s="6" t="str">
        <f>IF($I103="","",$I103-TODAY())</f>
        <v/>
      </c>
      <c r="K103" s="9" t="str">
        <f>IF($F103="","",IF(NOT(ISNUMBER($G103)),"Hors champ",IF($H103="","À renseigner",IF($J103&lt;0,"Dépassée",IF($J103&lt;=30,"À planifier","À jour")))))</f>
        <v/>
      </c>
      <c r="L103" s="5"/>
      <c r="M103" s="5"/>
      <c r="N103" s="5"/>
    </row>
    <row r="104" spans="1:14" x14ac:dyDescent="0.25">
      <c r="A104" s="5"/>
      <c r="B104" s="5"/>
      <c r="C104" s="5"/>
      <c r="D104" s="5"/>
      <c r="E104" s="5"/>
      <c r="F104" s="5"/>
      <c r="G104" s="6" t="str">
        <f>IF($F104="","",IF(ISNA(VLOOKUP($F104,'Référentiel VGP'!$A$2:$B$33,2,FALSE)),"",VLOOKUP($F104,'Référentiel VGP'!$A$2:$B$33,2,FALSE)))</f>
        <v/>
      </c>
      <c r="H104" s="7"/>
      <c r="I104" s="8" t="str">
        <f>IF(OR($H104="",NOT(ISNUMBER($G104))),"",MIN(DATE(YEAR($H104),MONTH($H104)+$G104,DAY($H104)),DATE(YEAR($H104),MONTH($H104)+$G104+1,0)))</f>
        <v/>
      </c>
      <c r="J104" s="6" t="str">
        <f>IF($I104="","",$I104-TODAY())</f>
        <v/>
      </c>
      <c r="K104" s="9" t="str">
        <f>IF($F104="","",IF(NOT(ISNUMBER($G104)),"Hors champ",IF($H104="","À renseigner",IF($J104&lt;0,"Dépassée",IF($J104&lt;=30,"À planifier","À jour")))))</f>
        <v/>
      </c>
      <c r="L104" s="5"/>
      <c r="M104" s="5"/>
      <c r="N104" s="5"/>
    </row>
    <row r="105" spans="1:14" x14ac:dyDescent="0.25">
      <c r="A105" s="5"/>
      <c r="B105" s="5"/>
      <c r="C105" s="5"/>
      <c r="D105" s="5"/>
      <c r="E105" s="5"/>
      <c r="F105" s="5"/>
      <c r="G105" s="6" t="str">
        <f>IF($F105="","",IF(ISNA(VLOOKUP($F105,'Référentiel VGP'!$A$2:$B$33,2,FALSE)),"",VLOOKUP($F105,'Référentiel VGP'!$A$2:$B$33,2,FALSE)))</f>
        <v/>
      </c>
      <c r="H105" s="7"/>
      <c r="I105" s="8" t="str">
        <f>IF(OR($H105="",NOT(ISNUMBER($G105))),"",MIN(DATE(YEAR($H105),MONTH($H105)+$G105,DAY($H105)),DATE(YEAR($H105),MONTH($H105)+$G105+1,0)))</f>
        <v/>
      </c>
      <c r="J105" s="6" t="str">
        <f>IF($I105="","",$I105-TODAY())</f>
        <v/>
      </c>
      <c r="K105" s="9" t="str">
        <f>IF($F105="","",IF(NOT(ISNUMBER($G105)),"Hors champ",IF($H105="","À renseigner",IF($J105&lt;0,"Dépassée",IF($J105&lt;=30,"À planifier","À jour")))))</f>
        <v/>
      </c>
      <c r="L105" s="5"/>
      <c r="M105" s="5"/>
      <c r="N105" s="5"/>
    </row>
    <row r="106" spans="1:14" x14ac:dyDescent="0.25">
      <c r="A106" s="5"/>
      <c r="B106" s="5"/>
      <c r="C106" s="5"/>
      <c r="D106" s="5"/>
      <c r="E106" s="5"/>
      <c r="F106" s="5"/>
      <c r="G106" s="6" t="str">
        <f>IF($F106="","",IF(ISNA(VLOOKUP($F106,'Référentiel VGP'!$A$2:$B$33,2,FALSE)),"",VLOOKUP($F106,'Référentiel VGP'!$A$2:$B$33,2,FALSE)))</f>
        <v/>
      </c>
      <c r="H106" s="7"/>
      <c r="I106" s="8" t="str">
        <f>IF(OR($H106="",NOT(ISNUMBER($G106))),"",MIN(DATE(YEAR($H106),MONTH($H106)+$G106,DAY($H106)),DATE(YEAR($H106),MONTH($H106)+$G106+1,0)))</f>
        <v/>
      </c>
      <c r="J106" s="6" t="str">
        <f>IF($I106="","",$I106-TODAY())</f>
        <v/>
      </c>
      <c r="K106" s="9" t="str">
        <f>IF($F106="","",IF(NOT(ISNUMBER($G106)),"Hors champ",IF($H106="","À renseigner",IF($J106&lt;0,"Dépassée",IF($J106&lt;=30,"À planifier","À jour")))))</f>
        <v/>
      </c>
      <c r="L106" s="5"/>
      <c r="M106" s="5"/>
      <c r="N106" s="5"/>
    </row>
    <row r="107" spans="1:14" x14ac:dyDescent="0.25">
      <c r="A107" s="5"/>
      <c r="B107" s="5"/>
      <c r="C107" s="5"/>
      <c r="D107" s="5"/>
      <c r="E107" s="5"/>
      <c r="F107" s="5"/>
      <c r="G107" s="6" t="str">
        <f>IF($F107="","",IF(ISNA(VLOOKUP($F107,'Référentiel VGP'!$A$2:$B$33,2,FALSE)),"",VLOOKUP($F107,'Référentiel VGP'!$A$2:$B$33,2,FALSE)))</f>
        <v/>
      </c>
      <c r="H107" s="7"/>
      <c r="I107" s="8" t="str">
        <f>IF(OR($H107="",NOT(ISNUMBER($G107))),"",MIN(DATE(YEAR($H107),MONTH($H107)+$G107,DAY($H107)),DATE(YEAR($H107),MONTH($H107)+$G107+1,0)))</f>
        <v/>
      </c>
      <c r="J107" s="6" t="str">
        <f>IF($I107="","",$I107-TODAY())</f>
        <v/>
      </c>
      <c r="K107" s="9" t="str">
        <f>IF($F107="","",IF(NOT(ISNUMBER($G107)),"Hors champ",IF($H107="","À renseigner",IF($J107&lt;0,"Dépassée",IF($J107&lt;=30,"À planifier","À jour")))))</f>
        <v/>
      </c>
      <c r="L107" s="5"/>
      <c r="M107" s="5"/>
      <c r="N107" s="5"/>
    </row>
    <row r="108" spans="1:14" x14ac:dyDescent="0.25">
      <c r="A108" s="5"/>
      <c r="B108" s="5"/>
      <c r="C108" s="5"/>
      <c r="D108" s="5"/>
      <c r="E108" s="5"/>
      <c r="F108" s="5"/>
      <c r="G108" s="6" t="str">
        <f>IF($F108="","",IF(ISNA(VLOOKUP($F108,'Référentiel VGP'!$A$2:$B$33,2,FALSE)),"",VLOOKUP($F108,'Référentiel VGP'!$A$2:$B$33,2,FALSE)))</f>
        <v/>
      </c>
      <c r="H108" s="7"/>
      <c r="I108" s="8" t="str">
        <f>IF(OR($H108="",NOT(ISNUMBER($G108))),"",MIN(DATE(YEAR($H108),MONTH($H108)+$G108,DAY($H108)),DATE(YEAR($H108),MONTH($H108)+$G108+1,0)))</f>
        <v/>
      </c>
      <c r="J108" s="6" t="str">
        <f>IF($I108="","",$I108-TODAY())</f>
        <v/>
      </c>
      <c r="K108" s="9" t="str">
        <f>IF($F108="","",IF(NOT(ISNUMBER($G108)),"Hors champ",IF($H108="","À renseigner",IF($J108&lt;0,"Dépassée",IF($J108&lt;=30,"À planifier","À jour")))))</f>
        <v/>
      </c>
      <c r="L108" s="5"/>
      <c r="M108" s="5"/>
      <c r="N108" s="5"/>
    </row>
    <row r="109" spans="1:14" x14ac:dyDescent="0.25">
      <c r="A109" s="5"/>
      <c r="B109" s="5"/>
      <c r="C109" s="5"/>
      <c r="D109" s="5"/>
      <c r="E109" s="5"/>
      <c r="F109" s="5"/>
      <c r="G109" s="6" t="str">
        <f>IF($F109="","",IF(ISNA(VLOOKUP($F109,'Référentiel VGP'!$A$2:$B$33,2,FALSE)),"",VLOOKUP($F109,'Référentiel VGP'!$A$2:$B$33,2,FALSE)))</f>
        <v/>
      </c>
      <c r="H109" s="7"/>
      <c r="I109" s="8" t="str">
        <f>IF(OR($H109="",NOT(ISNUMBER($G109))),"",MIN(DATE(YEAR($H109),MONTH($H109)+$G109,DAY($H109)),DATE(YEAR($H109),MONTH($H109)+$G109+1,0)))</f>
        <v/>
      </c>
      <c r="J109" s="6" t="str">
        <f>IF($I109="","",$I109-TODAY())</f>
        <v/>
      </c>
      <c r="K109" s="9" t="str">
        <f>IF($F109="","",IF(NOT(ISNUMBER($G109)),"Hors champ",IF($H109="","À renseigner",IF($J109&lt;0,"Dépassée",IF($J109&lt;=30,"À planifier","À jour")))))</f>
        <v/>
      </c>
      <c r="L109" s="5"/>
      <c r="M109" s="5"/>
      <c r="N109" s="5"/>
    </row>
    <row r="110" spans="1:14" x14ac:dyDescent="0.25">
      <c r="A110" s="5"/>
      <c r="B110" s="5"/>
      <c r="C110" s="5"/>
      <c r="D110" s="5"/>
      <c r="E110" s="5"/>
      <c r="F110" s="5"/>
      <c r="G110" s="6" t="str">
        <f>IF($F110="","",IF(ISNA(VLOOKUP($F110,'Référentiel VGP'!$A$2:$B$33,2,FALSE)),"",VLOOKUP($F110,'Référentiel VGP'!$A$2:$B$33,2,FALSE)))</f>
        <v/>
      </c>
      <c r="H110" s="7"/>
      <c r="I110" s="8" t="str">
        <f>IF(OR($H110="",NOT(ISNUMBER($G110))),"",MIN(DATE(YEAR($H110),MONTH($H110)+$G110,DAY($H110)),DATE(YEAR($H110),MONTH($H110)+$G110+1,0)))</f>
        <v/>
      </c>
      <c r="J110" s="6" t="str">
        <f>IF($I110="","",$I110-TODAY())</f>
        <v/>
      </c>
      <c r="K110" s="9" t="str">
        <f>IF($F110="","",IF(NOT(ISNUMBER($G110)),"Hors champ",IF($H110="","À renseigner",IF($J110&lt;0,"Dépassée",IF($J110&lt;=30,"À planifier","À jour")))))</f>
        <v/>
      </c>
      <c r="L110" s="5"/>
      <c r="M110" s="5"/>
      <c r="N110" s="5"/>
    </row>
    <row r="111" spans="1:14" x14ac:dyDescent="0.25">
      <c r="A111" s="5"/>
      <c r="B111" s="5"/>
      <c r="C111" s="5"/>
      <c r="D111" s="5"/>
      <c r="E111" s="5"/>
      <c r="F111" s="5"/>
      <c r="G111" s="6" t="str">
        <f>IF($F111="","",IF(ISNA(VLOOKUP($F111,'Référentiel VGP'!$A$2:$B$33,2,FALSE)),"",VLOOKUP($F111,'Référentiel VGP'!$A$2:$B$33,2,FALSE)))</f>
        <v/>
      </c>
      <c r="H111" s="7"/>
      <c r="I111" s="8" t="str">
        <f>IF(OR($H111="",NOT(ISNUMBER($G111))),"",MIN(DATE(YEAR($H111),MONTH($H111)+$G111,DAY($H111)),DATE(YEAR($H111),MONTH($H111)+$G111+1,0)))</f>
        <v/>
      </c>
      <c r="J111" s="6" t="str">
        <f>IF($I111="","",$I111-TODAY())</f>
        <v/>
      </c>
      <c r="K111" s="9" t="str">
        <f>IF($F111="","",IF(NOT(ISNUMBER($G111)),"Hors champ",IF($H111="","À renseigner",IF($J111&lt;0,"Dépassée",IF($J111&lt;=30,"À planifier","À jour")))))</f>
        <v/>
      </c>
      <c r="L111" s="5"/>
      <c r="M111" s="5"/>
      <c r="N111" s="5"/>
    </row>
    <row r="112" spans="1:14" x14ac:dyDescent="0.25">
      <c r="A112" s="5"/>
      <c r="B112" s="5"/>
      <c r="C112" s="5"/>
      <c r="D112" s="5"/>
      <c r="E112" s="5"/>
      <c r="F112" s="5"/>
      <c r="G112" s="6" t="str">
        <f>IF($F112="","",IF(ISNA(VLOOKUP($F112,'Référentiel VGP'!$A$2:$B$33,2,FALSE)),"",VLOOKUP($F112,'Référentiel VGP'!$A$2:$B$33,2,FALSE)))</f>
        <v/>
      </c>
      <c r="H112" s="7"/>
      <c r="I112" s="8" t="str">
        <f>IF(OR($H112="",NOT(ISNUMBER($G112))),"",MIN(DATE(YEAR($H112),MONTH($H112)+$G112,DAY($H112)),DATE(YEAR($H112),MONTH($H112)+$G112+1,0)))</f>
        <v/>
      </c>
      <c r="J112" s="6" t="str">
        <f>IF($I112="","",$I112-TODAY())</f>
        <v/>
      </c>
      <c r="K112" s="9" t="str">
        <f>IF($F112="","",IF(NOT(ISNUMBER($G112)),"Hors champ",IF($H112="","À renseigner",IF($J112&lt;0,"Dépassée",IF($J112&lt;=30,"À planifier","À jour")))))</f>
        <v/>
      </c>
      <c r="L112" s="5"/>
      <c r="M112" s="5"/>
      <c r="N112" s="5"/>
    </row>
    <row r="113" spans="1:14" x14ac:dyDescent="0.25">
      <c r="A113" s="5"/>
      <c r="B113" s="5"/>
      <c r="C113" s="5"/>
      <c r="D113" s="5"/>
      <c r="E113" s="5"/>
      <c r="F113" s="5"/>
      <c r="G113" s="6" t="str">
        <f>IF($F113="","",IF(ISNA(VLOOKUP($F113,'Référentiel VGP'!$A$2:$B$33,2,FALSE)),"",VLOOKUP($F113,'Référentiel VGP'!$A$2:$B$33,2,FALSE)))</f>
        <v/>
      </c>
      <c r="H113" s="7"/>
      <c r="I113" s="8" t="str">
        <f>IF(OR($H113="",NOT(ISNUMBER($G113))),"",MIN(DATE(YEAR($H113),MONTH($H113)+$G113,DAY($H113)),DATE(YEAR($H113),MONTH($H113)+$G113+1,0)))</f>
        <v/>
      </c>
      <c r="J113" s="6" t="str">
        <f>IF($I113="","",$I113-TODAY())</f>
        <v/>
      </c>
      <c r="K113" s="9" t="str">
        <f>IF($F113="","",IF(NOT(ISNUMBER($G113)),"Hors champ",IF($H113="","À renseigner",IF($J113&lt;0,"Dépassée",IF($J113&lt;=30,"À planifier","À jour")))))</f>
        <v/>
      </c>
      <c r="L113" s="5"/>
      <c r="M113" s="5"/>
      <c r="N113" s="5"/>
    </row>
    <row r="114" spans="1:14" x14ac:dyDescent="0.25">
      <c r="A114" s="5"/>
      <c r="B114" s="5"/>
      <c r="C114" s="5"/>
      <c r="D114" s="5"/>
      <c r="E114" s="5"/>
      <c r="F114" s="5"/>
      <c r="G114" s="6" t="str">
        <f>IF($F114="","",IF(ISNA(VLOOKUP($F114,'Référentiel VGP'!$A$2:$B$33,2,FALSE)),"",VLOOKUP($F114,'Référentiel VGP'!$A$2:$B$33,2,FALSE)))</f>
        <v/>
      </c>
      <c r="H114" s="7"/>
      <c r="I114" s="8" t="str">
        <f>IF(OR($H114="",NOT(ISNUMBER($G114))),"",MIN(DATE(YEAR($H114),MONTH($H114)+$G114,DAY($H114)),DATE(YEAR($H114),MONTH($H114)+$G114+1,0)))</f>
        <v/>
      </c>
      <c r="J114" s="6" t="str">
        <f>IF($I114="","",$I114-TODAY())</f>
        <v/>
      </c>
      <c r="K114" s="9" t="str">
        <f>IF($F114="","",IF(NOT(ISNUMBER($G114)),"Hors champ",IF($H114="","À renseigner",IF($J114&lt;0,"Dépassée",IF($J114&lt;=30,"À planifier","À jour")))))</f>
        <v/>
      </c>
      <c r="L114" s="5"/>
      <c r="M114" s="5"/>
      <c r="N114" s="5"/>
    </row>
    <row r="115" spans="1:14" x14ac:dyDescent="0.25">
      <c r="A115" s="5"/>
      <c r="B115" s="5"/>
      <c r="C115" s="5"/>
      <c r="D115" s="5"/>
      <c r="E115" s="5"/>
      <c r="F115" s="5"/>
      <c r="G115" s="6" t="str">
        <f>IF($F115="","",IF(ISNA(VLOOKUP($F115,'Référentiel VGP'!$A$2:$B$33,2,FALSE)),"",VLOOKUP($F115,'Référentiel VGP'!$A$2:$B$33,2,FALSE)))</f>
        <v/>
      </c>
      <c r="H115" s="7"/>
      <c r="I115" s="8" t="str">
        <f>IF(OR($H115="",NOT(ISNUMBER($G115))),"",MIN(DATE(YEAR($H115),MONTH($H115)+$G115,DAY($H115)),DATE(YEAR($H115),MONTH($H115)+$G115+1,0)))</f>
        <v/>
      </c>
      <c r="J115" s="6" t="str">
        <f>IF($I115="","",$I115-TODAY())</f>
        <v/>
      </c>
      <c r="K115" s="9" t="str">
        <f>IF($F115="","",IF(NOT(ISNUMBER($G115)),"Hors champ",IF($H115="","À renseigner",IF($J115&lt;0,"Dépassée",IF($J115&lt;=30,"À planifier","À jour")))))</f>
        <v/>
      </c>
      <c r="L115" s="5"/>
      <c r="M115" s="5"/>
      <c r="N115" s="5"/>
    </row>
    <row r="116" spans="1:14" x14ac:dyDescent="0.25">
      <c r="A116" s="5"/>
      <c r="B116" s="5"/>
      <c r="C116" s="5"/>
      <c r="D116" s="5"/>
      <c r="E116" s="5"/>
      <c r="F116" s="5"/>
      <c r="G116" s="6" t="str">
        <f>IF($F116="","",IF(ISNA(VLOOKUP($F116,'Référentiel VGP'!$A$2:$B$33,2,FALSE)),"",VLOOKUP($F116,'Référentiel VGP'!$A$2:$B$33,2,FALSE)))</f>
        <v/>
      </c>
      <c r="H116" s="7"/>
      <c r="I116" s="8" t="str">
        <f>IF(OR($H116="",NOT(ISNUMBER($G116))),"",MIN(DATE(YEAR($H116),MONTH($H116)+$G116,DAY($H116)),DATE(YEAR($H116),MONTH($H116)+$G116+1,0)))</f>
        <v/>
      </c>
      <c r="J116" s="6" t="str">
        <f>IF($I116="","",$I116-TODAY())</f>
        <v/>
      </c>
      <c r="K116" s="9" t="str">
        <f>IF($F116="","",IF(NOT(ISNUMBER($G116)),"Hors champ",IF($H116="","À renseigner",IF($J116&lt;0,"Dépassée",IF($J116&lt;=30,"À planifier","À jour")))))</f>
        <v/>
      </c>
      <c r="L116" s="5"/>
      <c r="M116" s="5"/>
      <c r="N116" s="5"/>
    </row>
    <row r="117" spans="1:14" x14ac:dyDescent="0.25">
      <c r="A117" s="5"/>
      <c r="B117" s="5"/>
      <c r="C117" s="5"/>
      <c r="D117" s="5"/>
      <c r="E117" s="5"/>
      <c r="F117" s="5"/>
      <c r="G117" s="6" t="str">
        <f>IF($F117="","",IF(ISNA(VLOOKUP($F117,'Référentiel VGP'!$A$2:$B$33,2,FALSE)),"",VLOOKUP($F117,'Référentiel VGP'!$A$2:$B$33,2,FALSE)))</f>
        <v/>
      </c>
      <c r="H117" s="7"/>
      <c r="I117" s="8" t="str">
        <f>IF(OR($H117="",NOT(ISNUMBER($G117))),"",MIN(DATE(YEAR($H117),MONTH($H117)+$G117,DAY($H117)),DATE(YEAR($H117),MONTH($H117)+$G117+1,0)))</f>
        <v/>
      </c>
      <c r="J117" s="6" t="str">
        <f>IF($I117="","",$I117-TODAY())</f>
        <v/>
      </c>
      <c r="K117" s="9" t="str">
        <f>IF($F117="","",IF(NOT(ISNUMBER($G117)),"Hors champ",IF($H117="","À renseigner",IF($J117&lt;0,"Dépassée",IF($J117&lt;=30,"À planifier","À jour")))))</f>
        <v/>
      </c>
      <c r="L117" s="5"/>
      <c r="M117" s="5"/>
      <c r="N117" s="5"/>
    </row>
    <row r="118" spans="1:14" x14ac:dyDescent="0.25">
      <c r="A118" s="5"/>
      <c r="B118" s="5"/>
      <c r="C118" s="5"/>
      <c r="D118" s="5"/>
      <c r="E118" s="5"/>
      <c r="F118" s="5"/>
      <c r="G118" s="6" t="str">
        <f>IF($F118="","",IF(ISNA(VLOOKUP($F118,'Référentiel VGP'!$A$2:$B$33,2,FALSE)),"",VLOOKUP($F118,'Référentiel VGP'!$A$2:$B$33,2,FALSE)))</f>
        <v/>
      </c>
      <c r="H118" s="7"/>
      <c r="I118" s="8" t="str">
        <f>IF(OR($H118="",NOT(ISNUMBER($G118))),"",MIN(DATE(YEAR($H118),MONTH($H118)+$G118,DAY($H118)),DATE(YEAR($H118),MONTH($H118)+$G118+1,0)))</f>
        <v/>
      </c>
      <c r="J118" s="6" t="str">
        <f>IF($I118="","",$I118-TODAY())</f>
        <v/>
      </c>
      <c r="K118" s="9" t="str">
        <f>IF($F118="","",IF(NOT(ISNUMBER($G118)),"Hors champ",IF($H118="","À renseigner",IF($J118&lt;0,"Dépassée",IF($J118&lt;=30,"À planifier","À jour")))))</f>
        <v/>
      </c>
      <c r="L118" s="5"/>
      <c r="M118" s="5"/>
      <c r="N118" s="5"/>
    </row>
    <row r="119" spans="1:14" x14ac:dyDescent="0.25">
      <c r="A119" s="5"/>
      <c r="B119" s="5"/>
      <c r="C119" s="5"/>
      <c r="D119" s="5"/>
      <c r="E119" s="5"/>
      <c r="F119" s="5"/>
      <c r="G119" s="6" t="str">
        <f>IF($F119="","",IF(ISNA(VLOOKUP($F119,'Référentiel VGP'!$A$2:$B$33,2,FALSE)),"",VLOOKUP($F119,'Référentiel VGP'!$A$2:$B$33,2,FALSE)))</f>
        <v/>
      </c>
      <c r="H119" s="7"/>
      <c r="I119" s="8" t="str">
        <f>IF(OR($H119="",NOT(ISNUMBER($G119))),"",MIN(DATE(YEAR($H119),MONTH($H119)+$G119,DAY($H119)),DATE(YEAR($H119),MONTH($H119)+$G119+1,0)))</f>
        <v/>
      </c>
      <c r="J119" s="6" t="str">
        <f>IF($I119="","",$I119-TODAY())</f>
        <v/>
      </c>
      <c r="K119" s="9" t="str">
        <f>IF($F119="","",IF(NOT(ISNUMBER($G119)),"Hors champ",IF($H119="","À renseigner",IF($J119&lt;0,"Dépassée",IF($J119&lt;=30,"À planifier","À jour")))))</f>
        <v/>
      </c>
      <c r="L119" s="5"/>
      <c r="M119" s="5"/>
      <c r="N119" s="5"/>
    </row>
    <row r="120" spans="1:14" x14ac:dyDescent="0.25">
      <c r="A120" s="5"/>
      <c r="B120" s="5"/>
      <c r="C120" s="5"/>
      <c r="D120" s="5"/>
      <c r="E120" s="5"/>
      <c r="F120" s="5"/>
      <c r="G120" s="6" t="str">
        <f>IF($F120="","",IF(ISNA(VLOOKUP($F120,'Référentiel VGP'!$A$2:$B$33,2,FALSE)),"",VLOOKUP($F120,'Référentiel VGP'!$A$2:$B$33,2,FALSE)))</f>
        <v/>
      </c>
      <c r="H120" s="7"/>
      <c r="I120" s="8" t="str">
        <f>IF(OR($H120="",NOT(ISNUMBER($G120))),"",MIN(DATE(YEAR($H120),MONTH($H120)+$G120,DAY($H120)),DATE(YEAR($H120),MONTH($H120)+$G120+1,0)))</f>
        <v/>
      </c>
      <c r="J120" s="6" t="str">
        <f>IF($I120="","",$I120-TODAY())</f>
        <v/>
      </c>
      <c r="K120" s="9" t="str">
        <f>IF($F120="","",IF(NOT(ISNUMBER($G120)),"Hors champ",IF($H120="","À renseigner",IF($J120&lt;0,"Dépassée",IF($J120&lt;=30,"À planifier","À jour")))))</f>
        <v/>
      </c>
      <c r="L120" s="5"/>
      <c r="M120" s="5"/>
      <c r="N120" s="5"/>
    </row>
    <row r="121" spans="1:14" x14ac:dyDescent="0.25">
      <c r="A121" s="5"/>
      <c r="B121" s="5"/>
      <c r="C121" s="5"/>
      <c r="D121" s="5"/>
      <c r="E121" s="5"/>
      <c r="F121" s="5"/>
      <c r="G121" s="6" t="str">
        <f>IF($F121="","",IF(ISNA(VLOOKUP($F121,'Référentiel VGP'!$A$2:$B$33,2,FALSE)),"",VLOOKUP($F121,'Référentiel VGP'!$A$2:$B$33,2,FALSE)))</f>
        <v/>
      </c>
      <c r="H121" s="7"/>
      <c r="I121" s="8" t="str">
        <f>IF(OR($H121="",NOT(ISNUMBER($G121))),"",MIN(DATE(YEAR($H121),MONTH($H121)+$G121,DAY($H121)),DATE(YEAR($H121),MONTH($H121)+$G121+1,0)))</f>
        <v/>
      </c>
      <c r="J121" s="6" t="str">
        <f>IF($I121="","",$I121-TODAY())</f>
        <v/>
      </c>
      <c r="K121" s="9" t="str">
        <f>IF($F121="","",IF(NOT(ISNUMBER($G121)),"Hors champ",IF($H121="","À renseigner",IF($J121&lt;0,"Dépassée",IF($J121&lt;=30,"À planifier","À jour")))))</f>
        <v/>
      </c>
      <c r="L121" s="5"/>
      <c r="M121" s="5"/>
      <c r="N121" s="5"/>
    </row>
    <row r="122" spans="1:14" x14ac:dyDescent="0.25">
      <c r="A122" s="5"/>
      <c r="B122" s="5"/>
      <c r="C122" s="5"/>
      <c r="D122" s="5"/>
      <c r="E122" s="5"/>
      <c r="F122" s="5"/>
      <c r="G122" s="6" t="str">
        <f>IF($F122="","",IF(ISNA(VLOOKUP($F122,'Référentiel VGP'!$A$2:$B$33,2,FALSE)),"",VLOOKUP($F122,'Référentiel VGP'!$A$2:$B$33,2,FALSE)))</f>
        <v/>
      </c>
      <c r="H122" s="7"/>
      <c r="I122" s="8" t="str">
        <f>IF(OR($H122="",NOT(ISNUMBER($G122))),"",MIN(DATE(YEAR($H122),MONTH($H122)+$G122,DAY($H122)),DATE(YEAR($H122),MONTH($H122)+$G122+1,0)))</f>
        <v/>
      </c>
      <c r="J122" s="6" t="str">
        <f>IF($I122="","",$I122-TODAY())</f>
        <v/>
      </c>
      <c r="K122" s="9" t="str">
        <f>IF($F122="","",IF(NOT(ISNUMBER($G122)),"Hors champ",IF($H122="","À renseigner",IF($J122&lt;0,"Dépassée",IF($J122&lt;=30,"À planifier","À jour")))))</f>
        <v/>
      </c>
      <c r="L122" s="5"/>
      <c r="M122" s="5"/>
      <c r="N122" s="5"/>
    </row>
    <row r="123" spans="1:14" x14ac:dyDescent="0.25">
      <c r="A123" s="5"/>
      <c r="B123" s="5"/>
      <c r="C123" s="5"/>
      <c r="D123" s="5"/>
      <c r="E123" s="5"/>
      <c r="F123" s="5"/>
      <c r="G123" s="6" t="str">
        <f>IF($F123="","",IF(ISNA(VLOOKUP($F123,'Référentiel VGP'!$A$2:$B$33,2,FALSE)),"",VLOOKUP($F123,'Référentiel VGP'!$A$2:$B$33,2,FALSE)))</f>
        <v/>
      </c>
      <c r="H123" s="7"/>
      <c r="I123" s="8" t="str">
        <f>IF(OR($H123="",NOT(ISNUMBER($G123))),"",MIN(DATE(YEAR($H123),MONTH($H123)+$G123,DAY($H123)),DATE(YEAR($H123),MONTH($H123)+$G123+1,0)))</f>
        <v/>
      </c>
      <c r="J123" s="6" t="str">
        <f>IF($I123="","",$I123-TODAY())</f>
        <v/>
      </c>
      <c r="K123" s="9" t="str">
        <f>IF($F123="","",IF(NOT(ISNUMBER($G123)),"Hors champ",IF($H123="","À renseigner",IF($J123&lt;0,"Dépassée",IF($J123&lt;=30,"À planifier","À jour")))))</f>
        <v/>
      </c>
      <c r="L123" s="5"/>
      <c r="M123" s="5"/>
      <c r="N123" s="5"/>
    </row>
    <row r="124" spans="1:14" x14ac:dyDescent="0.25">
      <c r="A124" s="5"/>
      <c r="B124" s="5"/>
      <c r="C124" s="5"/>
      <c r="D124" s="5"/>
      <c r="E124" s="5"/>
      <c r="F124" s="5"/>
      <c r="G124" s="6" t="str">
        <f>IF($F124="","",IF(ISNA(VLOOKUP($F124,'Référentiel VGP'!$A$2:$B$33,2,FALSE)),"",VLOOKUP($F124,'Référentiel VGP'!$A$2:$B$33,2,FALSE)))</f>
        <v/>
      </c>
      <c r="H124" s="7"/>
      <c r="I124" s="8" t="str">
        <f>IF(OR($H124="",NOT(ISNUMBER($G124))),"",MIN(DATE(YEAR($H124),MONTH($H124)+$G124,DAY($H124)),DATE(YEAR($H124),MONTH($H124)+$G124+1,0)))</f>
        <v/>
      </c>
      <c r="J124" s="6" t="str">
        <f>IF($I124="","",$I124-TODAY())</f>
        <v/>
      </c>
      <c r="K124" s="9" t="str">
        <f>IF($F124="","",IF(NOT(ISNUMBER($G124)),"Hors champ",IF($H124="","À renseigner",IF($J124&lt;0,"Dépassée",IF($J124&lt;=30,"À planifier","À jour")))))</f>
        <v/>
      </c>
      <c r="L124" s="5"/>
      <c r="M124" s="5"/>
      <c r="N124" s="5"/>
    </row>
    <row r="125" spans="1:14" x14ac:dyDescent="0.25">
      <c r="A125" s="5"/>
      <c r="B125" s="5"/>
      <c r="C125" s="5"/>
      <c r="D125" s="5"/>
      <c r="E125" s="5"/>
      <c r="F125" s="5"/>
      <c r="G125" s="6" t="str">
        <f>IF($F125="","",IF(ISNA(VLOOKUP($F125,'Référentiel VGP'!$A$2:$B$33,2,FALSE)),"",VLOOKUP($F125,'Référentiel VGP'!$A$2:$B$33,2,FALSE)))</f>
        <v/>
      </c>
      <c r="H125" s="7"/>
      <c r="I125" s="8" t="str">
        <f>IF(OR($H125="",NOT(ISNUMBER($G125))),"",MIN(DATE(YEAR($H125),MONTH($H125)+$G125,DAY($H125)),DATE(YEAR($H125),MONTH($H125)+$G125+1,0)))</f>
        <v/>
      </c>
      <c r="J125" s="6" t="str">
        <f>IF($I125="","",$I125-TODAY())</f>
        <v/>
      </c>
      <c r="K125" s="9" t="str">
        <f>IF($F125="","",IF(NOT(ISNUMBER($G125)),"Hors champ",IF($H125="","À renseigner",IF($J125&lt;0,"Dépassée",IF($J125&lt;=30,"À planifier","À jour")))))</f>
        <v/>
      </c>
      <c r="L125" s="5"/>
      <c r="M125" s="5"/>
      <c r="N125" s="5"/>
    </row>
    <row r="126" spans="1:14" x14ac:dyDescent="0.25">
      <c r="A126" s="5"/>
      <c r="B126" s="5"/>
      <c r="C126" s="5"/>
      <c r="D126" s="5"/>
      <c r="E126" s="5"/>
      <c r="F126" s="5"/>
      <c r="G126" s="6" t="str">
        <f>IF($F126="","",IF(ISNA(VLOOKUP($F126,'Référentiel VGP'!$A$2:$B$33,2,FALSE)),"",VLOOKUP($F126,'Référentiel VGP'!$A$2:$B$33,2,FALSE)))</f>
        <v/>
      </c>
      <c r="H126" s="7"/>
      <c r="I126" s="8" t="str">
        <f>IF(OR($H126="",NOT(ISNUMBER($G126))),"",MIN(DATE(YEAR($H126),MONTH($H126)+$G126,DAY($H126)),DATE(YEAR($H126),MONTH($H126)+$G126+1,0)))</f>
        <v/>
      </c>
      <c r="J126" s="6" t="str">
        <f>IF($I126="","",$I126-TODAY())</f>
        <v/>
      </c>
      <c r="K126" s="9" t="str">
        <f>IF($F126="","",IF(NOT(ISNUMBER($G126)),"Hors champ",IF($H126="","À renseigner",IF($J126&lt;0,"Dépassée",IF($J126&lt;=30,"À planifier","À jour")))))</f>
        <v/>
      </c>
      <c r="L126" s="5"/>
      <c r="M126" s="5"/>
      <c r="N126" s="5"/>
    </row>
    <row r="127" spans="1:14" x14ac:dyDescent="0.25">
      <c r="A127" s="5"/>
      <c r="B127" s="5"/>
      <c r="C127" s="5"/>
      <c r="D127" s="5"/>
      <c r="E127" s="5"/>
      <c r="F127" s="5"/>
      <c r="G127" s="6" t="str">
        <f>IF($F127="","",IF(ISNA(VLOOKUP($F127,'Référentiel VGP'!$A$2:$B$33,2,FALSE)),"",VLOOKUP($F127,'Référentiel VGP'!$A$2:$B$33,2,FALSE)))</f>
        <v/>
      </c>
      <c r="H127" s="7"/>
      <c r="I127" s="8" t="str">
        <f>IF(OR($H127="",NOT(ISNUMBER($G127))),"",MIN(DATE(YEAR($H127),MONTH($H127)+$G127,DAY($H127)),DATE(YEAR($H127),MONTH($H127)+$G127+1,0)))</f>
        <v/>
      </c>
      <c r="J127" s="6" t="str">
        <f>IF($I127="","",$I127-TODAY())</f>
        <v/>
      </c>
      <c r="K127" s="9" t="str">
        <f>IF($F127="","",IF(NOT(ISNUMBER($G127)),"Hors champ",IF($H127="","À renseigner",IF($J127&lt;0,"Dépassée",IF($J127&lt;=30,"À planifier","À jour")))))</f>
        <v/>
      </c>
      <c r="L127" s="5"/>
      <c r="M127" s="5"/>
      <c r="N127" s="5"/>
    </row>
    <row r="128" spans="1:14" x14ac:dyDescent="0.25">
      <c r="A128" s="5"/>
      <c r="B128" s="5"/>
      <c r="C128" s="5"/>
      <c r="D128" s="5"/>
      <c r="E128" s="5"/>
      <c r="F128" s="5"/>
      <c r="G128" s="6" t="str">
        <f>IF($F128="","",IF(ISNA(VLOOKUP($F128,'Référentiel VGP'!$A$2:$B$33,2,FALSE)),"",VLOOKUP($F128,'Référentiel VGP'!$A$2:$B$33,2,FALSE)))</f>
        <v/>
      </c>
      <c r="H128" s="7"/>
      <c r="I128" s="8" t="str">
        <f>IF(OR($H128="",NOT(ISNUMBER($G128))),"",MIN(DATE(YEAR($H128),MONTH($H128)+$G128,DAY($H128)),DATE(YEAR($H128),MONTH($H128)+$G128+1,0)))</f>
        <v/>
      </c>
      <c r="J128" s="6" t="str">
        <f>IF($I128="","",$I128-TODAY())</f>
        <v/>
      </c>
      <c r="K128" s="9" t="str">
        <f>IF($F128="","",IF(NOT(ISNUMBER($G128)),"Hors champ",IF($H128="","À renseigner",IF($J128&lt;0,"Dépassée",IF($J128&lt;=30,"À planifier","À jour")))))</f>
        <v/>
      </c>
      <c r="L128" s="5"/>
      <c r="M128" s="5"/>
      <c r="N128" s="5"/>
    </row>
    <row r="129" spans="1:14" x14ac:dyDescent="0.25">
      <c r="A129" s="5"/>
      <c r="B129" s="5"/>
      <c r="C129" s="5"/>
      <c r="D129" s="5"/>
      <c r="E129" s="5"/>
      <c r="F129" s="5"/>
      <c r="G129" s="6" t="str">
        <f>IF($F129="","",IF(ISNA(VLOOKUP($F129,'Référentiel VGP'!$A$2:$B$33,2,FALSE)),"",VLOOKUP($F129,'Référentiel VGP'!$A$2:$B$33,2,FALSE)))</f>
        <v/>
      </c>
      <c r="H129" s="7"/>
      <c r="I129" s="8" t="str">
        <f>IF(OR($H129="",NOT(ISNUMBER($G129))),"",MIN(DATE(YEAR($H129),MONTH($H129)+$G129,DAY($H129)),DATE(YEAR($H129),MONTH($H129)+$G129+1,0)))</f>
        <v/>
      </c>
      <c r="J129" s="6" t="str">
        <f>IF($I129="","",$I129-TODAY())</f>
        <v/>
      </c>
      <c r="K129" s="9" t="str">
        <f>IF($F129="","",IF(NOT(ISNUMBER($G129)),"Hors champ",IF($H129="","À renseigner",IF($J129&lt;0,"Dépassée",IF($J129&lt;=30,"À planifier","À jour")))))</f>
        <v/>
      </c>
      <c r="L129" s="5"/>
      <c r="M129" s="5"/>
      <c r="N129" s="5"/>
    </row>
    <row r="130" spans="1:14" x14ac:dyDescent="0.25">
      <c r="A130" s="5"/>
      <c r="B130" s="5"/>
      <c r="C130" s="5"/>
      <c r="D130" s="5"/>
      <c r="E130" s="5"/>
      <c r="F130" s="5"/>
      <c r="G130" s="6" t="str">
        <f>IF($F130="","",IF(ISNA(VLOOKUP($F130,'Référentiel VGP'!$A$2:$B$33,2,FALSE)),"",VLOOKUP($F130,'Référentiel VGP'!$A$2:$B$33,2,FALSE)))</f>
        <v/>
      </c>
      <c r="H130" s="7"/>
      <c r="I130" s="8" t="str">
        <f>IF(OR($H130="",NOT(ISNUMBER($G130))),"",MIN(DATE(YEAR($H130),MONTH($H130)+$G130,DAY($H130)),DATE(YEAR($H130),MONTH($H130)+$G130+1,0)))</f>
        <v/>
      </c>
      <c r="J130" s="6" t="str">
        <f>IF($I130="","",$I130-TODAY())</f>
        <v/>
      </c>
      <c r="K130" s="9" t="str">
        <f>IF($F130="","",IF(NOT(ISNUMBER($G130)),"Hors champ",IF($H130="","À renseigner",IF($J130&lt;0,"Dépassée",IF($J130&lt;=30,"À planifier","À jour")))))</f>
        <v/>
      </c>
      <c r="L130" s="5"/>
      <c r="M130" s="5"/>
      <c r="N130" s="5"/>
    </row>
    <row r="131" spans="1:14" x14ac:dyDescent="0.25">
      <c r="A131" s="5"/>
      <c r="B131" s="5"/>
      <c r="C131" s="5"/>
      <c r="D131" s="5"/>
      <c r="E131" s="5"/>
      <c r="F131" s="5"/>
      <c r="G131" s="6" t="str">
        <f>IF($F131="","",IF(ISNA(VLOOKUP($F131,'Référentiel VGP'!$A$2:$B$33,2,FALSE)),"",VLOOKUP($F131,'Référentiel VGP'!$A$2:$B$33,2,FALSE)))</f>
        <v/>
      </c>
      <c r="H131" s="7"/>
      <c r="I131" s="8" t="str">
        <f>IF(OR($H131="",NOT(ISNUMBER($G131))),"",MIN(DATE(YEAR($H131),MONTH($H131)+$G131,DAY($H131)),DATE(YEAR($H131),MONTH($H131)+$G131+1,0)))</f>
        <v/>
      </c>
      <c r="J131" s="6" t="str">
        <f>IF($I131="","",$I131-TODAY())</f>
        <v/>
      </c>
      <c r="K131" s="9" t="str">
        <f>IF($F131="","",IF(NOT(ISNUMBER($G131)),"Hors champ",IF($H131="","À renseigner",IF($J131&lt;0,"Dépassée",IF($J131&lt;=30,"À planifier","À jour")))))</f>
        <v/>
      </c>
      <c r="L131" s="5"/>
      <c r="M131" s="5"/>
      <c r="N131" s="5"/>
    </row>
    <row r="132" spans="1:14" x14ac:dyDescent="0.25">
      <c r="A132" s="5"/>
      <c r="B132" s="5"/>
      <c r="C132" s="5"/>
      <c r="D132" s="5"/>
      <c r="E132" s="5"/>
      <c r="F132" s="5"/>
      <c r="G132" s="6" t="str">
        <f>IF($F132="","",IF(ISNA(VLOOKUP($F132,'Référentiel VGP'!$A$2:$B$33,2,FALSE)),"",VLOOKUP($F132,'Référentiel VGP'!$A$2:$B$33,2,FALSE)))</f>
        <v/>
      </c>
      <c r="H132" s="7"/>
      <c r="I132" s="8" t="str">
        <f>IF(OR($H132="",NOT(ISNUMBER($G132))),"",MIN(DATE(YEAR($H132),MONTH($H132)+$G132,DAY($H132)),DATE(YEAR($H132),MONTH($H132)+$G132+1,0)))</f>
        <v/>
      </c>
      <c r="J132" s="6" t="str">
        <f>IF($I132="","",$I132-TODAY())</f>
        <v/>
      </c>
      <c r="K132" s="9" t="str">
        <f>IF($F132="","",IF(NOT(ISNUMBER($G132)),"Hors champ",IF($H132="","À renseigner",IF($J132&lt;0,"Dépassée",IF($J132&lt;=30,"À planifier","À jour")))))</f>
        <v/>
      </c>
      <c r="L132" s="5"/>
      <c r="M132" s="5"/>
      <c r="N132" s="5"/>
    </row>
    <row r="133" spans="1:14" x14ac:dyDescent="0.25">
      <c r="A133" s="5"/>
      <c r="B133" s="5"/>
      <c r="C133" s="5"/>
      <c r="D133" s="5"/>
      <c r="E133" s="5"/>
      <c r="F133" s="5"/>
      <c r="G133" s="6" t="str">
        <f>IF($F133="","",IF(ISNA(VLOOKUP($F133,'Référentiel VGP'!$A$2:$B$33,2,FALSE)),"",VLOOKUP($F133,'Référentiel VGP'!$A$2:$B$33,2,FALSE)))</f>
        <v/>
      </c>
      <c r="H133" s="7"/>
      <c r="I133" s="8" t="str">
        <f>IF(OR($H133="",NOT(ISNUMBER($G133))),"",MIN(DATE(YEAR($H133),MONTH($H133)+$G133,DAY($H133)),DATE(YEAR($H133),MONTH($H133)+$G133+1,0)))</f>
        <v/>
      </c>
      <c r="J133" s="6" t="str">
        <f>IF($I133="","",$I133-TODAY())</f>
        <v/>
      </c>
      <c r="K133" s="9" t="str">
        <f>IF($F133="","",IF(NOT(ISNUMBER($G133)),"Hors champ",IF($H133="","À renseigner",IF($J133&lt;0,"Dépassée",IF($J133&lt;=30,"À planifier","À jour")))))</f>
        <v/>
      </c>
      <c r="L133" s="5"/>
      <c r="M133" s="5"/>
      <c r="N133" s="5"/>
    </row>
    <row r="134" spans="1:14" x14ac:dyDescent="0.25">
      <c r="A134" s="5"/>
      <c r="B134" s="5"/>
      <c r="C134" s="5"/>
      <c r="D134" s="5"/>
      <c r="E134" s="5"/>
      <c r="F134" s="5"/>
      <c r="G134" s="6" t="str">
        <f>IF($F134="","",IF(ISNA(VLOOKUP($F134,'Référentiel VGP'!$A$2:$B$33,2,FALSE)),"",VLOOKUP($F134,'Référentiel VGP'!$A$2:$B$33,2,FALSE)))</f>
        <v/>
      </c>
      <c r="H134" s="7"/>
      <c r="I134" s="8" t="str">
        <f>IF(OR($H134="",NOT(ISNUMBER($G134))),"",MIN(DATE(YEAR($H134),MONTH($H134)+$G134,DAY($H134)),DATE(YEAR($H134),MONTH($H134)+$G134+1,0)))</f>
        <v/>
      </c>
      <c r="J134" s="6" t="str">
        <f>IF($I134="","",$I134-TODAY())</f>
        <v/>
      </c>
      <c r="K134" s="9" t="str">
        <f>IF($F134="","",IF(NOT(ISNUMBER($G134)),"Hors champ",IF($H134="","À renseigner",IF($J134&lt;0,"Dépassée",IF($J134&lt;=30,"À planifier","À jour")))))</f>
        <v/>
      </c>
      <c r="L134" s="5"/>
      <c r="M134" s="5"/>
      <c r="N134" s="5"/>
    </row>
    <row r="135" spans="1:14" x14ac:dyDescent="0.25">
      <c r="A135" s="5"/>
      <c r="B135" s="5"/>
      <c r="C135" s="5"/>
      <c r="D135" s="5"/>
      <c r="E135" s="5"/>
      <c r="F135" s="5"/>
      <c r="G135" s="6" t="str">
        <f>IF($F135="","",IF(ISNA(VLOOKUP($F135,'Référentiel VGP'!$A$2:$B$33,2,FALSE)),"",VLOOKUP($F135,'Référentiel VGP'!$A$2:$B$33,2,FALSE)))</f>
        <v/>
      </c>
      <c r="H135" s="7"/>
      <c r="I135" s="8" t="str">
        <f>IF(OR($H135="",NOT(ISNUMBER($G135))),"",MIN(DATE(YEAR($H135),MONTH($H135)+$G135,DAY($H135)),DATE(YEAR($H135),MONTH($H135)+$G135+1,0)))</f>
        <v/>
      </c>
      <c r="J135" s="6" t="str">
        <f>IF($I135="","",$I135-TODAY())</f>
        <v/>
      </c>
      <c r="K135" s="9" t="str">
        <f>IF($F135="","",IF(NOT(ISNUMBER($G135)),"Hors champ",IF($H135="","À renseigner",IF($J135&lt;0,"Dépassée",IF($J135&lt;=30,"À planifier","À jour")))))</f>
        <v/>
      </c>
      <c r="L135" s="5"/>
      <c r="M135" s="5"/>
      <c r="N135" s="5"/>
    </row>
    <row r="136" spans="1:14" x14ac:dyDescent="0.25">
      <c r="A136" s="5"/>
      <c r="B136" s="5"/>
      <c r="C136" s="5"/>
      <c r="D136" s="5"/>
      <c r="E136" s="5"/>
      <c r="F136" s="5"/>
      <c r="G136" s="6" t="str">
        <f>IF($F136="","",IF(ISNA(VLOOKUP($F136,'Référentiel VGP'!$A$2:$B$33,2,FALSE)),"",VLOOKUP($F136,'Référentiel VGP'!$A$2:$B$33,2,FALSE)))</f>
        <v/>
      </c>
      <c r="H136" s="7"/>
      <c r="I136" s="8" t="str">
        <f>IF(OR($H136="",NOT(ISNUMBER($G136))),"",MIN(DATE(YEAR($H136),MONTH($H136)+$G136,DAY($H136)),DATE(YEAR($H136),MONTH($H136)+$G136+1,0)))</f>
        <v/>
      </c>
      <c r="J136" s="6" t="str">
        <f>IF($I136="","",$I136-TODAY())</f>
        <v/>
      </c>
      <c r="K136" s="9" t="str">
        <f>IF($F136="","",IF(NOT(ISNUMBER($G136)),"Hors champ",IF($H136="","À renseigner",IF($J136&lt;0,"Dépassée",IF($J136&lt;=30,"À planifier","À jour")))))</f>
        <v/>
      </c>
      <c r="L136" s="5"/>
      <c r="M136" s="5"/>
      <c r="N136" s="5"/>
    </row>
    <row r="137" spans="1:14" x14ac:dyDescent="0.25">
      <c r="A137" s="5"/>
      <c r="B137" s="5"/>
      <c r="C137" s="5"/>
      <c r="D137" s="5"/>
      <c r="E137" s="5"/>
      <c r="F137" s="5"/>
      <c r="G137" s="6" t="str">
        <f>IF($F137="","",IF(ISNA(VLOOKUP($F137,'Référentiel VGP'!$A$2:$B$33,2,FALSE)),"",VLOOKUP($F137,'Référentiel VGP'!$A$2:$B$33,2,FALSE)))</f>
        <v/>
      </c>
      <c r="H137" s="7"/>
      <c r="I137" s="8" t="str">
        <f>IF(OR($H137="",NOT(ISNUMBER($G137))),"",MIN(DATE(YEAR($H137),MONTH($H137)+$G137,DAY($H137)),DATE(YEAR($H137),MONTH($H137)+$G137+1,0)))</f>
        <v/>
      </c>
      <c r="J137" s="6" t="str">
        <f>IF($I137="","",$I137-TODAY())</f>
        <v/>
      </c>
      <c r="K137" s="9" t="str">
        <f>IF($F137="","",IF(NOT(ISNUMBER($G137)),"Hors champ",IF($H137="","À renseigner",IF($J137&lt;0,"Dépassée",IF($J137&lt;=30,"À planifier","À jour")))))</f>
        <v/>
      </c>
      <c r="L137" s="5"/>
      <c r="M137" s="5"/>
      <c r="N137" s="5"/>
    </row>
    <row r="138" spans="1:14" x14ac:dyDescent="0.25">
      <c r="A138" s="5"/>
      <c r="B138" s="5"/>
      <c r="C138" s="5"/>
      <c r="D138" s="5"/>
      <c r="E138" s="5"/>
      <c r="F138" s="5"/>
      <c r="G138" s="6" t="str">
        <f>IF($F138="","",IF(ISNA(VLOOKUP($F138,'Référentiel VGP'!$A$2:$B$33,2,FALSE)),"",VLOOKUP($F138,'Référentiel VGP'!$A$2:$B$33,2,FALSE)))</f>
        <v/>
      </c>
      <c r="H138" s="7"/>
      <c r="I138" s="8" t="str">
        <f>IF(OR($H138="",NOT(ISNUMBER($G138))),"",MIN(DATE(YEAR($H138),MONTH($H138)+$G138,DAY($H138)),DATE(YEAR($H138),MONTH($H138)+$G138+1,0)))</f>
        <v/>
      </c>
      <c r="J138" s="6" t="str">
        <f>IF($I138="","",$I138-TODAY())</f>
        <v/>
      </c>
      <c r="K138" s="9" t="str">
        <f>IF($F138="","",IF(NOT(ISNUMBER($G138)),"Hors champ",IF($H138="","À renseigner",IF($J138&lt;0,"Dépassée",IF($J138&lt;=30,"À planifier","À jour")))))</f>
        <v/>
      </c>
      <c r="L138" s="5"/>
      <c r="M138" s="5"/>
      <c r="N138" s="5"/>
    </row>
    <row r="139" spans="1:14" x14ac:dyDescent="0.25">
      <c r="A139" s="5"/>
      <c r="B139" s="5"/>
      <c r="C139" s="5"/>
      <c r="D139" s="5"/>
      <c r="E139" s="5"/>
      <c r="F139" s="5"/>
      <c r="G139" s="6" t="str">
        <f>IF($F139="","",IF(ISNA(VLOOKUP($F139,'Référentiel VGP'!$A$2:$B$33,2,FALSE)),"",VLOOKUP($F139,'Référentiel VGP'!$A$2:$B$33,2,FALSE)))</f>
        <v/>
      </c>
      <c r="H139" s="7"/>
      <c r="I139" s="8" t="str">
        <f>IF(OR($H139="",NOT(ISNUMBER($G139))),"",MIN(DATE(YEAR($H139),MONTH($H139)+$G139,DAY($H139)),DATE(YEAR($H139),MONTH($H139)+$G139+1,0)))</f>
        <v/>
      </c>
      <c r="J139" s="6" t="str">
        <f>IF($I139="","",$I139-TODAY())</f>
        <v/>
      </c>
      <c r="K139" s="9" t="str">
        <f>IF($F139="","",IF(NOT(ISNUMBER($G139)),"Hors champ",IF($H139="","À renseigner",IF($J139&lt;0,"Dépassée",IF($J139&lt;=30,"À planifier","À jour")))))</f>
        <v/>
      </c>
      <c r="L139" s="5"/>
      <c r="M139" s="5"/>
      <c r="N139" s="5"/>
    </row>
    <row r="140" spans="1:14" x14ac:dyDescent="0.25">
      <c r="A140" s="5"/>
      <c r="B140" s="5"/>
      <c r="C140" s="5"/>
      <c r="D140" s="5"/>
      <c r="E140" s="5"/>
      <c r="F140" s="5"/>
      <c r="G140" s="6" t="str">
        <f>IF($F140="","",IF(ISNA(VLOOKUP($F140,'Référentiel VGP'!$A$2:$B$33,2,FALSE)),"",VLOOKUP($F140,'Référentiel VGP'!$A$2:$B$33,2,FALSE)))</f>
        <v/>
      </c>
      <c r="H140" s="7"/>
      <c r="I140" s="8" t="str">
        <f>IF(OR($H140="",NOT(ISNUMBER($G140))),"",MIN(DATE(YEAR($H140),MONTH($H140)+$G140,DAY($H140)),DATE(YEAR($H140),MONTH($H140)+$G140+1,0)))</f>
        <v/>
      </c>
      <c r="J140" s="6" t="str">
        <f>IF($I140="","",$I140-TODAY())</f>
        <v/>
      </c>
      <c r="K140" s="9" t="str">
        <f>IF($F140="","",IF(NOT(ISNUMBER($G140)),"Hors champ",IF($H140="","À renseigner",IF($J140&lt;0,"Dépassée",IF($J140&lt;=30,"À planifier","À jour")))))</f>
        <v/>
      </c>
      <c r="L140" s="5"/>
      <c r="M140" s="5"/>
      <c r="N140" s="5"/>
    </row>
    <row r="141" spans="1:14" x14ac:dyDescent="0.25">
      <c r="A141" s="5"/>
      <c r="B141" s="5"/>
      <c r="C141" s="5"/>
      <c r="D141" s="5"/>
      <c r="E141" s="5"/>
      <c r="F141" s="5"/>
      <c r="G141" s="6" t="str">
        <f>IF($F141="","",IF(ISNA(VLOOKUP($F141,'Référentiel VGP'!$A$2:$B$33,2,FALSE)),"",VLOOKUP($F141,'Référentiel VGP'!$A$2:$B$33,2,FALSE)))</f>
        <v/>
      </c>
      <c r="H141" s="7"/>
      <c r="I141" s="8" t="str">
        <f>IF(OR($H141="",NOT(ISNUMBER($G141))),"",MIN(DATE(YEAR($H141),MONTH($H141)+$G141,DAY($H141)),DATE(YEAR($H141),MONTH($H141)+$G141+1,0)))</f>
        <v/>
      </c>
      <c r="J141" s="6" t="str">
        <f>IF($I141="","",$I141-TODAY())</f>
        <v/>
      </c>
      <c r="K141" s="9" t="str">
        <f>IF($F141="","",IF(NOT(ISNUMBER($G141)),"Hors champ",IF($H141="","À renseigner",IF($J141&lt;0,"Dépassée",IF($J141&lt;=30,"À planifier","À jour")))))</f>
        <v/>
      </c>
      <c r="L141" s="5"/>
      <c r="M141" s="5"/>
      <c r="N141" s="5"/>
    </row>
    <row r="142" spans="1:14" x14ac:dyDescent="0.25">
      <c r="A142" s="5"/>
      <c r="B142" s="5"/>
      <c r="C142" s="5"/>
      <c r="D142" s="5"/>
      <c r="E142" s="5"/>
      <c r="F142" s="5"/>
      <c r="G142" s="6" t="str">
        <f>IF($F142="","",IF(ISNA(VLOOKUP($F142,'Référentiel VGP'!$A$2:$B$33,2,FALSE)),"",VLOOKUP($F142,'Référentiel VGP'!$A$2:$B$33,2,FALSE)))</f>
        <v/>
      </c>
      <c r="H142" s="7"/>
      <c r="I142" s="8" t="str">
        <f>IF(OR($H142="",NOT(ISNUMBER($G142))),"",MIN(DATE(YEAR($H142),MONTH($H142)+$G142,DAY($H142)),DATE(YEAR($H142),MONTH($H142)+$G142+1,0)))</f>
        <v/>
      </c>
      <c r="J142" s="6" t="str">
        <f>IF($I142="","",$I142-TODAY())</f>
        <v/>
      </c>
      <c r="K142" s="9" t="str">
        <f>IF($F142="","",IF(NOT(ISNUMBER($G142)),"Hors champ",IF($H142="","À renseigner",IF($J142&lt;0,"Dépassée",IF($J142&lt;=30,"À planifier","À jour")))))</f>
        <v/>
      </c>
      <c r="L142" s="5"/>
      <c r="M142" s="5"/>
      <c r="N142" s="5"/>
    </row>
    <row r="143" spans="1:14" x14ac:dyDescent="0.25">
      <c r="A143" s="5"/>
      <c r="B143" s="5"/>
      <c r="C143" s="5"/>
      <c r="D143" s="5"/>
      <c r="E143" s="5"/>
      <c r="F143" s="5"/>
      <c r="G143" s="6" t="str">
        <f>IF($F143="","",IF(ISNA(VLOOKUP($F143,'Référentiel VGP'!$A$2:$B$33,2,FALSE)),"",VLOOKUP($F143,'Référentiel VGP'!$A$2:$B$33,2,FALSE)))</f>
        <v/>
      </c>
      <c r="H143" s="7"/>
      <c r="I143" s="8" t="str">
        <f>IF(OR($H143="",NOT(ISNUMBER($G143))),"",MIN(DATE(YEAR($H143),MONTH($H143)+$G143,DAY($H143)),DATE(YEAR($H143),MONTH($H143)+$G143+1,0)))</f>
        <v/>
      </c>
      <c r="J143" s="6" t="str">
        <f>IF($I143="","",$I143-TODAY())</f>
        <v/>
      </c>
      <c r="K143" s="9" t="str">
        <f>IF($F143="","",IF(NOT(ISNUMBER($G143)),"Hors champ",IF($H143="","À renseigner",IF($J143&lt;0,"Dépassée",IF($J143&lt;=30,"À planifier","À jour")))))</f>
        <v/>
      </c>
      <c r="L143" s="5"/>
      <c r="M143" s="5"/>
      <c r="N143" s="5"/>
    </row>
    <row r="144" spans="1:14" x14ac:dyDescent="0.25">
      <c r="A144" s="5"/>
      <c r="B144" s="5"/>
      <c r="C144" s="5"/>
      <c r="D144" s="5"/>
      <c r="E144" s="5"/>
      <c r="F144" s="5"/>
      <c r="G144" s="6" t="str">
        <f>IF($F144="","",IF(ISNA(VLOOKUP($F144,'Référentiel VGP'!$A$2:$B$33,2,FALSE)),"",VLOOKUP($F144,'Référentiel VGP'!$A$2:$B$33,2,FALSE)))</f>
        <v/>
      </c>
      <c r="H144" s="7"/>
      <c r="I144" s="8" t="str">
        <f>IF(OR($H144="",NOT(ISNUMBER($G144))),"",MIN(DATE(YEAR($H144),MONTH($H144)+$G144,DAY($H144)),DATE(YEAR($H144),MONTH($H144)+$G144+1,0)))</f>
        <v/>
      </c>
      <c r="J144" s="6" t="str">
        <f>IF($I144="","",$I144-TODAY())</f>
        <v/>
      </c>
      <c r="K144" s="9" t="str">
        <f>IF($F144="","",IF(NOT(ISNUMBER($G144)),"Hors champ",IF($H144="","À renseigner",IF($J144&lt;0,"Dépassée",IF($J144&lt;=30,"À planifier","À jour")))))</f>
        <v/>
      </c>
      <c r="L144" s="5"/>
      <c r="M144" s="5"/>
      <c r="N144" s="5"/>
    </row>
    <row r="145" spans="1:14" x14ac:dyDescent="0.25">
      <c r="A145" s="5"/>
      <c r="B145" s="5"/>
      <c r="C145" s="5"/>
      <c r="D145" s="5"/>
      <c r="E145" s="5"/>
      <c r="F145" s="5"/>
      <c r="G145" s="6" t="str">
        <f>IF($F145="","",IF(ISNA(VLOOKUP($F145,'Référentiel VGP'!$A$2:$B$33,2,FALSE)),"",VLOOKUP($F145,'Référentiel VGP'!$A$2:$B$33,2,FALSE)))</f>
        <v/>
      </c>
      <c r="H145" s="7"/>
      <c r="I145" s="8" t="str">
        <f>IF(OR($H145="",NOT(ISNUMBER($G145))),"",MIN(DATE(YEAR($H145),MONTH($H145)+$G145,DAY($H145)),DATE(YEAR($H145),MONTH($H145)+$G145+1,0)))</f>
        <v/>
      </c>
      <c r="J145" s="6" t="str">
        <f>IF($I145="","",$I145-TODAY())</f>
        <v/>
      </c>
      <c r="K145" s="9" t="str">
        <f>IF($F145="","",IF(NOT(ISNUMBER($G145)),"Hors champ",IF($H145="","À renseigner",IF($J145&lt;0,"Dépassée",IF($J145&lt;=30,"À planifier","À jour")))))</f>
        <v/>
      </c>
      <c r="L145" s="5"/>
      <c r="M145" s="5"/>
      <c r="N145" s="5"/>
    </row>
    <row r="146" spans="1:14" x14ac:dyDescent="0.25">
      <c r="A146" s="5"/>
      <c r="B146" s="5"/>
      <c r="C146" s="5"/>
      <c r="D146" s="5"/>
      <c r="E146" s="5"/>
      <c r="F146" s="5"/>
      <c r="G146" s="6" t="str">
        <f>IF($F146="","",IF(ISNA(VLOOKUP($F146,'Référentiel VGP'!$A$2:$B$33,2,FALSE)),"",VLOOKUP($F146,'Référentiel VGP'!$A$2:$B$33,2,FALSE)))</f>
        <v/>
      </c>
      <c r="H146" s="7"/>
      <c r="I146" s="8" t="str">
        <f>IF(OR($H146="",NOT(ISNUMBER($G146))),"",MIN(DATE(YEAR($H146),MONTH($H146)+$G146,DAY($H146)),DATE(YEAR($H146),MONTH($H146)+$G146+1,0)))</f>
        <v/>
      </c>
      <c r="J146" s="6" t="str">
        <f>IF($I146="","",$I146-TODAY())</f>
        <v/>
      </c>
      <c r="K146" s="9" t="str">
        <f>IF($F146="","",IF(NOT(ISNUMBER($G146)),"Hors champ",IF($H146="","À renseigner",IF($J146&lt;0,"Dépassée",IF($J146&lt;=30,"À planifier","À jour")))))</f>
        <v/>
      </c>
      <c r="L146" s="5"/>
      <c r="M146" s="5"/>
      <c r="N146" s="5"/>
    </row>
    <row r="147" spans="1:14" x14ac:dyDescent="0.25">
      <c r="A147" s="5"/>
      <c r="B147" s="5"/>
      <c r="C147" s="5"/>
      <c r="D147" s="5"/>
      <c r="E147" s="5"/>
      <c r="F147" s="5"/>
      <c r="G147" s="6" t="str">
        <f>IF($F147="","",IF(ISNA(VLOOKUP($F147,'Référentiel VGP'!$A$2:$B$33,2,FALSE)),"",VLOOKUP($F147,'Référentiel VGP'!$A$2:$B$33,2,FALSE)))</f>
        <v/>
      </c>
      <c r="H147" s="7"/>
      <c r="I147" s="8" t="str">
        <f>IF(OR($H147="",NOT(ISNUMBER($G147))),"",MIN(DATE(YEAR($H147),MONTH($H147)+$G147,DAY($H147)),DATE(YEAR($H147),MONTH($H147)+$G147+1,0)))</f>
        <v/>
      </c>
      <c r="J147" s="6" t="str">
        <f>IF($I147="","",$I147-TODAY())</f>
        <v/>
      </c>
      <c r="K147" s="9" t="str">
        <f>IF($F147="","",IF(NOT(ISNUMBER($G147)),"Hors champ",IF($H147="","À renseigner",IF($J147&lt;0,"Dépassée",IF($J147&lt;=30,"À planifier","À jour")))))</f>
        <v/>
      </c>
      <c r="L147" s="5"/>
      <c r="M147" s="5"/>
      <c r="N147" s="5"/>
    </row>
    <row r="148" spans="1:14" x14ac:dyDescent="0.25">
      <c r="A148" s="5"/>
      <c r="B148" s="5"/>
      <c r="C148" s="5"/>
      <c r="D148" s="5"/>
      <c r="E148" s="5"/>
      <c r="F148" s="5"/>
      <c r="G148" s="6" t="str">
        <f>IF($F148="","",IF(ISNA(VLOOKUP($F148,'Référentiel VGP'!$A$2:$B$33,2,FALSE)),"",VLOOKUP($F148,'Référentiel VGP'!$A$2:$B$33,2,FALSE)))</f>
        <v/>
      </c>
      <c r="H148" s="7"/>
      <c r="I148" s="8" t="str">
        <f>IF(OR($H148="",NOT(ISNUMBER($G148))),"",MIN(DATE(YEAR($H148),MONTH($H148)+$G148,DAY($H148)),DATE(YEAR($H148),MONTH($H148)+$G148+1,0)))</f>
        <v/>
      </c>
      <c r="J148" s="6" t="str">
        <f>IF($I148="","",$I148-TODAY())</f>
        <v/>
      </c>
      <c r="K148" s="9" t="str">
        <f>IF($F148="","",IF(NOT(ISNUMBER($G148)),"Hors champ",IF($H148="","À renseigner",IF($J148&lt;0,"Dépassée",IF($J148&lt;=30,"À planifier","À jour")))))</f>
        <v/>
      </c>
      <c r="L148" s="5"/>
      <c r="M148" s="5"/>
      <c r="N148" s="5"/>
    </row>
    <row r="149" spans="1:14" x14ac:dyDescent="0.25">
      <c r="A149" s="5"/>
      <c r="B149" s="5"/>
      <c r="C149" s="5"/>
      <c r="D149" s="5"/>
      <c r="E149" s="5"/>
      <c r="F149" s="5"/>
      <c r="G149" s="6" t="str">
        <f>IF($F149="","",IF(ISNA(VLOOKUP($F149,'Référentiel VGP'!$A$2:$B$33,2,FALSE)),"",VLOOKUP($F149,'Référentiel VGP'!$A$2:$B$33,2,FALSE)))</f>
        <v/>
      </c>
      <c r="H149" s="7"/>
      <c r="I149" s="8" t="str">
        <f>IF(OR($H149="",NOT(ISNUMBER($G149))),"",MIN(DATE(YEAR($H149),MONTH($H149)+$G149,DAY($H149)),DATE(YEAR($H149),MONTH($H149)+$G149+1,0)))</f>
        <v/>
      </c>
      <c r="J149" s="6" t="str">
        <f>IF($I149="","",$I149-TODAY())</f>
        <v/>
      </c>
      <c r="K149" s="9" t="str">
        <f>IF($F149="","",IF(NOT(ISNUMBER($G149)),"Hors champ",IF($H149="","À renseigner",IF($J149&lt;0,"Dépassée",IF($J149&lt;=30,"À planifier","À jour")))))</f>
        <v/>
      </c>
      <c r="L149" s="5"/>
      <c r="M149" s="5"/>
      <c r="N149" s="5"/>
    </row>
    <row r="150" spans="1:14" x14ac:dyDescent="0.25">
      <c r="A150" s="5"/>
      <c r="B150" s="5"/>
      <c r="C150" s="5"/>
      <c r="D150" s="5"/>
      <c r="E150" s="5"/>
      <c r="F150" s="5"/>
      <c r="G150" s="6" t="str">
        <f>IF($F150="","",IF(ISNA(VLOOKUP($F150,'Référentiel VGP'!$A$2:$B$33,2,FALSE)),"",VLOOKUP($F150,'Référentiel VGP'!$A$2:$B$33,2,FALSE)))</f>
        <v/>
      </c>
      <c r="H150" s="7"/>
      <c r="I150" s="8" t="str">
        <f>IF(OR($H150="",NOT(ISNUMBER($G150))),"",MIN(DATE(YEAR($H150),MONTH($H150)+$G150,DAY($H150)),DATE(YEAR($H150),MONTH($H150)+$G150+1,0)))</f>
        <v/>
      </c>
      <c r="J150" s="6" t="str">
        <f>IF($I150="","",$I150-TODAY())</f>
        <v/>
      </c>
      <c r="K150" s="9" t="str">
        <f>IF($F150="","",IF(NOT(ISNUMBER($G150)),"Hors champ",IF($H150="","À renseigner",IF($J150&lt;0,"Dépassée",IF($J150&lt;=30,"À planifier","À jour")))))</f>
        <v/>
      </c>
      <c r="L150" s="5"/>
      <c r="M150" s="5"/>
      <c r="N150" s="5"/>
    </row>
    <row r="151" spans="1:14" x14ac:dyDescent="0.25">
      <c r="A151" s="5"/>
      <c r="B151" s="5"/>
      <c r="C151" s="5"/>
      <c r="D151" s="5"/>
      <c r="E151" s="5"/>
      <c r="F151" s="5"/>
      <c r="G151" s="6" t="str">
        <f>IF($F151="","",IF(ISNA(VLOOKUP($F151,'Référentiel VGP'!$A$2:$B$33,2,FALSE)),"",VLOOKUP($F151,'Référentiel VGP'!$A$2:$B$33,2,FALSE)))</f>
        <v/>
      </c>
      <c r="H151" s="7"/>
      <c r="I151" s="8" t="str">
        <f>IF(OR($H151="",NOT(ISNUMBER($G151))),"",MIN(DATE(YEAR($H151),MONTH($H151)+$G151,DAY($H151)),DATE(YEAR($H151),MONTH($H151)+$G151+1,0)))</f>
        <v/>
      </c>
      <c r="J151" s="6" t="str">
        <f>IF($I151="","",$I151-TODAY())</f>
        <v/>
      </c>
      <c r="K151" s="9" t="str">
        <f>IF($F151="","",IF(NOT(ISNUMBER($G151)),"Hors champ",IF($H151="","À renseigner",IF($J151&lt;0,"Dépassée",IF($J151&lt;=30,"À planifier","À jour")))))</f>
        <v/>
      </c>
      <c r="L151" s="5"/>
      <c r="M151" s="5"/>
      <c r="N151" s="5"/>
    </row>
    <row r="152" spans="1:14" x14ac:dyDescent="0.25">
      <c r="A152" s="5"/>
      <c r="B152" s="5"/>
      <c r="C152" s="5"/>
      <c r="D152" s="5"/>
      <c r="E152" s="5"/>
      <c r="F152" s="5"/>
      <c r="G152" s="6" t="str">
        <f>IF($F152="","",IF(ISNA(VLOOKUP($F152,'Référentiel VGP'!$A$2:$B$33,2,FALSE)),"",VLOOKUP($F152,'Référentiel VGP'!$A$2:$B$33,2,FALSE)))</f>
        <v/>
      </c>
      <c r="H152" s="7"/>
      <c r="I152" s="8" t="str">
        <f>IF(OR($H152="",NOT(ISNUMBER($G152))),"",MIN(DATE(YEAR($H152),MONTH($H152)+$G152,DAY($H152)),DATE(YEAR($H152),MONTH($H152)+$G152+1,0)))</f>
        <v/>
      </c>
      <c r="J152" s="6" t="str">
        <f>IF($I152="","",$I152-TODAY())</f>
        <v/>
      </c>
      <c r="K152" s="9" t="str">
        <f>IF($F152="","",IF(NOT(ISNUMBER($G152)),"Hors champ",IF($H152="","À renseigner",IF($J152&lt;0,"Dépassée",IF($J152&lt;=30,"À planifier","À jour")))))</f>
        <v/>
      </c>
      <c r="L152" s="5"/>
      <c r="M152" s="5"/>
      <c r="N152" s="5"/>
    </row>
    <row r="153" spans="1:14" x14ac:dyDescent="0.25">
      <c r="A153" s="5"/>
      <c r="B153" s="5"/>
      <c r="C153" s="5"/>
      <c r="D153" s="5"/>
      <c r="E153" s="5"/>
      <c r="F153" s="5"/>
      <c r="G153" s="6" t="str">
        <f>IF($F153="","",IF(ISNA(VLOOKUP($F153,'Référentiel VGP'!$A$2:$B$33,2,FALSE)),"",VLOOKUP($F153,'Référentiel VGP'!$A$2:$B$33,2,FALSE)))</f>
        <v/>
      </c>
      <c r="H153" s="7"/>
      <c r="I153" s="8" t="str">
        <f>IF(OR($H153="",NOT(ISNUMBER($G153))),"",MIN(DATE(YEAR($H153),MONTH($H153)+$G153,DAY($H153)),DATE(YEAR($H153),MONTH($H153)+$G153+1,0)))</f>
        <v/>
      </c>
      <c r="J153" s="6" t="str">
        <f>IF($I153="","",$I153-TODAY())</f>
        <v/>
      </c>
      <c r="K153" s="9" t="str">
        <f>IF($F153="","",IF(NOT(ISNUMBER($G153)),"Hors champ",IF($H153="","À renseigner",IF($J153&lt;0,"Dépassée",IF($J153&lt;=30,"À planifier","À jour")))))</f>
        <v/>
      </c>
      <c r="L153" s="5"/>
      <c r="M153" s="5"/>
      <c r="N153" s="5"/>
    </row>
    <row r="154" spans="1:14" x14ac:dyDescent="0.25">
      <c r="A154" s="5"/>
      <c r="B154" s="5"/>
      <c r="C154" s="5"/>
      <c r="D154" s="5"/>
      <c r="E154" s="5"/>
      <c r="F154" s="5"/>
      <c r="G154" s="6" t="str">
        <f>IF($F154="","",IF(ISNA(VLOOKUP($F154,'Référentiel VGP'!$A$2:$B$33,2,FALSE)),"",VLOOKUP($F154,'Référentiel VGP'!$A$2:$B$33,2,FALSE)))</f>
        <v/>
      </c>
      <c r="H154" s="7"/>
      <c r="I154" s="8" t="str">
        <f>IF(OR($H154="",NOT(ISNUMBER($G154))),"",MIN(DATE(YEAR($H154),MONTH($H154)+$G154,DAY($H154)),DATE(YEAR($H154),MONTH($H154)+$G154+1,0)))</f>
        <v/>
      </c>
      <c r="J154" s="6" t="str">
        <f>IF($I154="","",$I154-TODAY())</f>
        <v/>
      </c>
      <c r="K154" s="9" t="str">
        <f>IF($F154="","",IF(NOT(ISNUMBER($G154)),"Hors champ",IF($H154="","À renseigner",IF($J154&lt;0,"Dépassée",IF($J154&lt;=30,"À planifier","À jour")))))</f>
        <v/>
      </c>
      <c r="L154" s="5"/>
      <c r="M154" s="5"/>
      <c r="N154" s="5"/>
    </row>
    <row r="155" spans="1:14" x14ac:dyDescent="0.25">
      <c r="A155" s="5"/>
      <c r="B155" s="5"/>
      <c r="C155" s="5"/>
      <c r="D155" s="5"/>
      <c r="E155" s="5"/>
      <c r="F155" s="5"/>
      <c r="G155" s="6" t="str">
        <f>IF($F155="","",IF(ISNA(VLOOKUP($F155,'Référentiel VGP'!$A$2:$B$33,2,FALSE)),"",VLOOKUP($F155,'Référentiel VGP'!$A$2:$B$33,2,FALSE)))</f>
        <v/>
      </c>
      <c r="H155" s="7"/>
      <c r="I155" s="8" t="str">
        <f>IF(OR($H155="",NOT(ISNUMBER($G155))),"",MIN(DATE(YEAR($H155),MONTH($H155)+$G155,DAY($H155)),DATE(YEAR($H155),MONTH($H155)+$G155+1,0)))</f>
        <v/>
      </c>
      <c r="J155" s="6" t="str">
        <f>IF($I155="","",$I155-TODAY())</f>
        <v/>
      </c>
      <c r="K155" s="9" t="str">
        <f>IF($F155="","",IF(NOT(ISNUMBER($G155)),"Hors champ",IF($H155="","À renseigner",IF($J155&lt;0,"Dépassée",IF($J155&lt;=30,"À planifier","À jour")))))</f>
        <v/>
      </c>
      <c r="L155" s="5"/>
      <c r="M155" s="5"/>
      <c r="N155" s="5"/>
    </row>
    <row r="156" spans="1:14" x14ac:dyDescent="0.25">
      <c r="A156" s="5"/>
      <c r="B156" s="5"/>
      <c r="C156" s="5"/>
      <c r="D156" s="5"/>
      <c r="E156" s="5"/>
      <c r="F156" s="5"/>
      <c r="G156" s="6" t="str">
        <f>IF($F156="","",IF(ISNA(VLOOKUP($F156,'Référentiel VGP'!$A$2:$B$33,2,FALSE)),"",VLOOKUP($F156,'Référentiel VGP'!$A$2:$B$33,2,FALSE)))</f>
        <v/>
      </c>
      <c r="H156" s="7"/>
      <c r="I156" s="8" t="str">
        <f>IF(OR($H156="",NOT(ISNUMBER($G156))),"",MIN(DATE(YEAR($H156),MONTH($H156)+$G156,DAY($H156)),DATE(YEAR($H156),MONTH($H156)+$G156+1,0)))</f>
        <v/>
      </c>
      <c r="J156" s="6" t="str">
        <f>IF($I156="","",$I156-TODAY())</f>
        <v/>
      </c>
      <c r="K156" s="9" t="str">
        <f>IF($F156="","",IF(NOT(ISNUMBER($G156)),"Hors champ",IF($H156="","À renseigner",IF($J156&lt;0,"Dépassée",IF($J156&lt;=30,"À planifier","À jour")))))</f>
        <v/>
      </c>
      <c r="L156" s="5"/>
      <c r="M156" s="5"/>
      <c r="N156" s="5"/>
    </row>
    <row r="157" spans="1:14" x14ac:dyDescent="0.25">
      <c r="A157" s="5"/>
      <c r="B157" s="5"/>
      <c r="C157" s="5"/>
      <c r="D157" s="5"/>
      <c r="E157" s="5"/>
      <c r="F157" s="5"/>
      <c r="G157" s="6" t="str">
        <f>IF($F157="","",IF(ISNA(VLOOKUP($F157,'Référentiel VGP'!$A$2:$B$33,2,FALSE)),"",VLOOKUP($F157,'Référentiel VGP'!$A$2:$B$33,2,FALSE)))</f>
        <v/>
      </c>
      <c r="H157" s="7"/>
      <c r="I157" s="8" t="str">
        <f>IF(OR($H157="",NOT(ISNUMBER($G157))),"",MIN(DATE(YEAR($H157),MONTH($H157)+$G157,DAY($H157)),DATE(YEAR($H157),MONTH($H157)+$G157+1,0)))</f>
        <v/>
      </c>
      <c r="J157" s="6" t="str">
        <f>IF($I157="","",$I157-TODAY())</f>
        <v/>
      </c>
      <c r="K157" s="9" t="str">
        <f>IF($F157="","",IF(NOT(ISNUMBER($G157)),"Hors champ",IF($H157="","À renseigner",IF($J157&lt;0,"Dépassée",IF($J157&lt;=30,"À planifier","À jour")))))</f>
        <v/>
      </c>
      <c r="L157" s="5"/>
      <c r="M157" s="5"/>
      <c r="N157" s="5"/>
    </row>
    <row r="158" spans="1:14" x14ac:dyDescent="0.25">
      <c r="A158" s="5"/>
      <c r="B158" s="5"/>
      <c r="C158" s="5"/>
      <c r="D158" s="5"/>
      <c r="E158" s="5"/>
      <c r="F158" s="5"/>
      <c r="G158" s="6" t="str">
        <f>IF($F158="","",IF(ISNA(VLOOKUP($F158,'Référentiel VGP'!$A$2:$B$33,2,FALSE)),"",VLOOKUP($F158,'Référentiel VGP'!$A$2:$B$33,2,FALSE)))</f>
        <v/>
      </c>
      <c r="H158" s="7"/>
      <c r="I158" s="8" t="str">
        <f>IF(OR($H158="",NOT(ISNUMBER($G158))),"",MIN(DATE(YEAR($H158),MONTH($H158)+$G158,DAY($H158)),DATE(YEAR($H158),MONTH($H158)+$G158+1,0)))</f>
        <v/>
      </c>
      <c r="J158" s="6" t="str">
        <f>IF($I158="","",$I158-TODAY())</f>
        <v/>
      </c>
      <c r="K158" s="9" t="str">
        <f>IF($F158="","",IF(NOT(ISNUMBER($G158)),"Hors champ",IF($H158="","À renseigner",IF($J158&lt;0,"Dépassée",IF($J158&lt;=30,"À planifier","À jour")))))</f>
        <v/>
      </c>
      <c r="L158" s="5"/>
      <c r="M158" s="5"/>
      <c r="N158" s="5"/>
    </row>
    <row r="159" spans="1:14" x14ac:dyDescent="0.25">
      <c r="A159" s="5"/>
      <c r="B159" s="5"/>
      <c r="C159" s="5"/>
      <c r="D159" s="5"/>
      <c r="E159" s="5"/>
      <c r="F159" s="5"/>
      <c r="G159" s="6" t="str">
        <f>IF($F159="","",IF(ISNA(VLOOKUP($F159,'Référentiel VGP'!$A$2:$B$33,2,FALSE)),"",VLOOKUP($F159,'Référentiel VGP'!$A$2:$B$33,2,FALSE)))</f>
        <v/>
      </c>
      <c r="H159" s="7"/>
      <c r="I159" s="8" t="str">
        <f>IF(OR($H159="",NOT(ISNUMBER($G159))),"",MIN(DATE(YEAR($H159),MONTH($H159)+$G159,DAY($H159)),DATE(YEAR($H159),MONTH($H159)+$G159+1,0)))</f>
        <v/>
      </c>
      <c r="J159" s="6" t="str">
        <f>IF($I159="","",$I159-TODAY())</f>
        <v/>
      </c>
      <c r="K159" s="9" t="str">
        <f>IF($F159="","",IF(NOT(ISNUMBER($G159)),"Hors champ",IF($H159="","À renseigner",IF($J159&lt;0,"Dépassée",IF($J159&lt;=30,"À planifier","À jour")))))</f>
        <v/>
      </c>
      <c r="L159" s="5"/>
      <c r="M159" s="5"/>
      <c r="N159" s="5"/>
    </row>
    <row r="160" spans="1:14" x14ac:dyDescent="0.25">
      <c r="A160" s="5"/>
      <c r="B160" s="5"/>
      <c r="C160" s="5"/>
      <c r="D160" s="5"/>
      <c r="E160" s="5"/>
      <c r="F160" s="5"/>
      <c r="G160" s="6" t="str">
        <f>IF($F160="","",IF(ISNA(VLOOKUP($F160,'Référentiel VGP'!$A$2:$B$33,2,FALSE)),"",VLOOKUP($F160,'Référentiel VGP'!$A$2:$B$33,2,FALSE)))</f>
        <v/>
      </c>
      <c r="H160" s="7"/>
      <c r="I160" s="8" t="str">
        <f>IF(OR($H160="",NOT(ISNUMBER($G160))),"",MIN(DATE(YEAR($H160),MONTH($H160)+$G160,DAY($H160)),DATE(YEAR($H160),MONTH($H160)+$G160+1,0)))</f>
        <v/>
      </c>
      <c r="J160" s="6" t="str">
        <f>IF($I160="","",$I160-TODAY())</f>
        <v/>
      </c>
      <c r="K160" s="9" t="str">
        <f>IF($F160="","",IF(NOT(ISNUMBER($G160)),"Hors champ",IF($H160="","À renseigner",IF($J160&lt;0,"Dépassée",IF($J160&lt;=30,"À planifier","À jour")))))</f>
        <v/>
      </c>
      <c r="L160" s="5"/>
      <c r="M160" s="5"/>
      <c r="N160" s="5"/>
    </row>
    <row r="161" spans="1:14" x14ac:dyDescent="0.25">
      <c r="A161" s="5"/>
      <c r="B161" s="5"/>
      <c r="C161" s="5"/>
      <c r="D161" s="5"/>
      <c r="E161" s="5"/>
      <c r="F161" s="5"/>
      <c r="G161" s="6" t="str">
        <f>IF($F161="","",IF(ISNA(VLOOKUP($F161,'Référentiel VGP'!$A$2:$B$33,2,FALSE)),"",VLOOKUP($F161,'Référentiel VGP'!$A$2:$B$33,2,FALSE)))</f>
        <v/>
      </c>
      <c r="H161" s="7"/>
      <c r="I161" s="8" t="str">
        <f>IF(OR($H161="",NOT(ISNUMBER($G161))),"",MIN(DATE(YEAR($H161),MONTH($H161)+$G161,DAY($H161)),DATE(YEAR($H161),MONTH($H161)+$G161+1,0)))</f>
        <v/>
      </c>
      <c r="J161" s="6" t="str">
        <f>IF($I161="","",$I161-TODAY())</f>
        <v/>
      </c>
      <c r="K161" s="9" t="str">
        <f>IF($F161="","",IF(NOT(ISNUMBER($G161)),"Hors champ",IF($H161="","À renseigner",IF($J161&lt;0,"Dépassée",IF($J161&lt;=30,"À planifier","À jour")))))</f>
        <v/>
      </c>
      <c r="L161" s="5"/>
      <c r="M161" s="5"/>
      <c r="N161" s="5"/>
    </row>
    <row r="162" spans="1:14" x14ac:dyDescent="0.25">
      <c r="A162" s="5"/>
      <c r="B162" s="5"/>
      <c r="C162" s="5"/>
      <c r="D162" s="5"/>
      <c r="E162" s="5"/>
      <c r="F162" s="5"/>
      <c r="G162" s="6" t="str">
        <f>IF($F162="","",IF(ISNA(VLOOKUP($F162,'Référentiel VGP'!$A$2:$B$33,2,FALSE)),"",VLOOKUP($F162,'Référentiel VGP'!$A$2:$B$33,2,FALSE)))</f>
        <v/>
      </c>
      <c r="H162" s="7"/>
      <c r="I162" s="8" t="str">
        <f>IF(OR($H162="",NOT(ISNUMBER($G162))),"",MIN(DATE(YEAR($H162),MONTH($H162)+$G162,DAY($H162)),DATE(YEAR($H162),MONTH($H162)+$G162+1,0)))</f>
        <v/>
      </c>
      <c r="J162" s="6" t="str">
        <f>IF($I162="","",$I162-TODAY())</f>
        <v/>
      </c>
      <c r="K162" s="9" t="str">
        <f>IF($F162="","",IF(NOT(ISNUMBER($G162)),"Hors champ",IF($H162="","À renseigner",IF($J162&lt;0,"Dépassée",IF($J162&lt;=30,"À planifier","À jour")))))</f>
        <v/>
      </c>
      <c r="L162" s="5"/>
      <c r="M162" s="5"/>
      <c r="N162" s="5"/>
    </row>
    <row r="163" spans="1:14" x14ac:dyDescent="0.25">
      <c r="A163" s="5"/>
      <c r="B163" s="5"/>
      <c r="C163" s="5"/>
      <c r="D163" s="5"/>
      <c r="E163" s="5"/>
      <c r="F163" s="5"/>
      <c r="G163" s="6" t="str">
        <f>IF($F163="","",IF(ISNA(VLOOKUP($F163,'Référentiel VGP'!$A$2:$B$33,2,FALSE)),"",VLOOKUP($F163,'Référentiel VGP'!$A$2:$B$33,2,FALSE)))</f>
        <v/>
      </c>
      <c r="H163" s="7"/>
      <c r="I163" s="8" t="str">
        <f>IF(OR($H163="",NOT(ISNUMBER($G163))),"",MIN(DATE(YEAR($H163),MONTH($H163)+$G163,DAY($H163)),DATE(YEAR($H163),MONTH($H163)+$G163+1,0)))</f>
        <v/>
      </c>
      <c r="J163" s="6" t="str">
        <f>IF($I163="","",$I163-TODAY())</f>
        <v/>
      </c>
      <c r="K163" s="9" t="str">
        <f>IF($F163="","",IF(NOT(ISNUMBER($G163)),"Hors champ",IF($H163="","À renseigner",IF($J163&lt;0,"Dépassée",IF($J163&lt;=30,"À planifier","À jour")))))</f>
        <v/>
      </c>
      <c r="L163" s="5"/>
      <c r="M163" s="5"/>
      <c r="N163" s="5"/>
    </row>
    <row r="164" spans="1:14" x14ac:dyDescent="0.25">
      <c r="A164" s="5"/>
      <c r="B164" s="5"/>
      <c r="C164" s="5"/>
      <c r="D164" s="5"/>
      <c r="E164" s="5"/>
      <c r="F164" s="5"/>
      <c r="G164" s="6" t="str">
        <f>IF($F164="","",IF(ISNA(VLOOKUP($F164,'Référentiel VGP'!$A$2:$B$33,2,FALSE)),"",VLOOKUP($F164,'Référentiel VGP'!$A$2:$B$33,2,FALSE)))</f>
        <v/>
      </c>
      <c r="H164" s="7"/>
      <c r="I164" s="8" t="str">
        <f>IF(OR($H164="",NOT(ISNUMBER($G164))),"",MIN(DATE(YEAR($H164),MONTH($H164)+$G164,DAY($H164)),DATE(YEAR($H164),MONTH($H164)+$G164+1,0)))</f>
        <v/>
      </c>
      <c r="J164" s="6" t="str">
        <f>IF($I164="","",$I164-TODAY())</f>
        <v/>
      </c>
      <c r="K164" s="9" t="str">
        <f>IF($F164="","",IF(NOT(ISNUMBER($G164)),"Hors champ",IF($H164="","À renseigner",IF($J164&lt;0,"Dépassée",IF($J164&lt;=30,"À planifier","À jour")))))</f>
        <v/>
      </c>
      <c r="L164" s="5"/>
      <c r="M164" s="5"/>
      <c r="N164" s="5"/>
    </row>
    <row r="165" spans="1:14" x14ac:dyDescent="0.25">
      <c r="A165" s="5"/>
      <c r="B165" s="5"/>
      <c r="C165" s="5"/>
      <c r="D165" s="5"/>
      <c r="E165" s="5"/>
      <c r="F165" s="5"/>
      <c r="G165" s="6" t="str">
        <f>IF($F165="","",IF(ISNA(VLOOKUP($F165,'Référentiel VGP'!$A$2:$B$33,2,FALSE)),"",VLOOKUP($F165,'Référentiel VGP'!$A$2:$B$33,2,FALSE)))</f>
        <v/>
      </c>
      <c r="H165" s="7"/>
      <c r="I165" s="8" t="str">
        <f>IF(OR($H165="",NOT(ISNUMBER($G165))),"",MIN(DATE(YEAR($H165),MONTH($H165)+$G165,DAY($H165)),DATE(YEAR($H165),MONTH($H165)+$G165+1,0)))</f>
        <v/>
      </c>
      <c r="J165" s="6" t="str">
        <f>IF($I165="","",$I165-TODAY())</f>
        <v/>
      </c>
      <c r="K165" s="9" t="str">
        <f>IF($F165="","",IF(NOT(ISNUMBER($G165)),"Hors champ",IF($H165="","À renseigner",IF($J165&lt;0,"Dépassée",IF($J165&lt;=30,"À planifier","À jour")))))</f>
        <v/>
      </c>
      <c r="L165" s="5"/>
      <c r="M165" s="5"/>
      <c r="N165" s="5"/>
    </row>
    <row r="166" spans="1:14" x14ac:dyDescent="0.25">
      <c r="A166" s="5"/>
      <c r="B166" s="5"/>
      <c r="C166" s="5"/>
      <c r="D166" s="5"/>
      <c r="E166" s="5"/>
      <c r="F166" s="5"/>
      <c r="G166" s="6" t="str">
        <f>IF($F166="","",IF(ISNA(VLOOKUP($F166,'Référentiel VGP'!$A$2:$B$33,2,FALSE)),"",VLOOKUP($F166,'Référentiel VGP'!$A$2:$B$33,2,FALSE)))</f>
        <v/>
      </c>
      <c r="H166" s="7"/>
      <c r="I166" s="8" t="str">
        <f>IF(OR($H166="",NOT(ISNUMBER($G166))),"",MIN(DATE(YEAR($H166),MONTH($H166)+$G166,DAY($H166)),DATE(YEAR($H166),MONTH($H166)+$G166+1,0)))</f>
        <v/>
      </c>
      <c r="J166" s="6" t="str">
        <f>IF($I166="","",$I166-TODAY())</f>
        <v/>
      </c>
      <c r="K166" s="9" t="str">
        <f>IF($F166="","",IF(NOT(ISNUMBER($G166)),"Hors champ",IF($H166="","À renseigner",IF($J166&lt;0,"Dépassée",IF($J166&lt;=30,"À planifier","À jour")))))</f>
        <v/>
      </c>
      <c r="L166" s="5"/>
      <c r="M166" s="5"/>
      <c r="N166" s="5"/>
    </row>
    <row r="167" spans="1:14" x14ac:dyDescent="0.25">
      <c r="A167" s="5"/>
      <c r="B167" s="5"/>
      <c r="C167" s="5"/>
      <c r="D167" s="5"/>
      <c r="E167" s="5"/>
      <c r="F167" s="5"/>
      <c r="G167" s="6" t="str">
        <f>IF($F167="","",IF(ISNA(VLOOKUP($F167,'Référentiel VGP'!$A$2:$B$33,2,FALSE)),"",VLOOKUP($F167,'Référentiel VGP'!$A$2:$B$33,2,FALSE)))</f>
        <v/>
      </c>
      <c r="H167" s="7"/>
      <c r="I167" s="8" t="str">
        <f>IF(OR($H167="",NOT(ISNUMBER($G167))),"",MIN(DATE(YEAR($H167),MONTH($H167)+$G167,DAY($H167)),DATE(YEAR($H167),MONTH($H167)+$G167+1,0)))</f>
        <v/>
      </c>
      <c r="J167" s="6" t="str">
        <f>IF($I167="","",$I167-TODAY())</f>
        <v/>
      </c>
      <c r="K167" s="9" t="str">
        <f>IF($F167="","",IF(NOT(ISNUMBER($G167)),"Hors champ",IF($H167="","À renseigner",IF($J167&lt;0,"Dépassée",IF($J167&lt;=30,"À planifier","À jour")))))</f>
        <v/>
      </c>
      <c r="L167" s="5"/>
      <c r="M167" s="5"/>
      <c r="N167" s="5"/>
    </row>
    <row r="168" spans="1:14" x14ac:dyDescent="0.25">
      <c r="A168" s="5"/>
      <c r="B168" s="5"/>
      <c r="C168" s="5"/>
      <c r="D168" s="5"/>
      <c r="E168" s="5"/>
      <c r="F168" s="5"/>
      <c r="G168" s="6" t="str">
        <f>IF($F168="","",IF(ISNA(VLOOKUP($F168,'Référentiel VGP'!$A$2:$B$33,2,FALSE)),"",VLOOKUP($F168,'Référentiel VGP'!$A$2:$B$33,2,FALSE)))</f>
        <v/>
      </c>
      <c r="H168" s="7"/>
      <c r="I168" s="8" t="str">
        <f>IF(OR($H168="",NOT(ISNUMBER($G168))),"",MIN(DATE(YEAR($H168),MONTH($H168)+$G168,DAY($H168)),DATE(YEAR($H168),MONTH($H168)+$G168+1,0)))</f>
        <v/>
      </c>
      <c r="J168" s="6" t="str">
        <f>IF($I168="","",$I168-TODAY())</f>
        <v/>
      </c>
      <c r="K168" s="9" t="str">
        <f>IF($F168="","",IF(NOT(ISNUMBER($G168)),"Hors champ",IF($H168="","À renseigner",IF($J168&lt;0,"Dépassée",IF($J168&lt;=30,"À planifier","À jour")))))</f>
        <v/>
      </c>
      <c r="L168" s="5"/>
      <c r="M168" s="5"/>
      <c r="N168" s="5"/>
    </row>
    <row r="169" spans="1:14" x14ac:dyDescent="0.25">
      <c r="A169" s="5"/>
      <c r="B169" s="5"/>
      <c r="C169" s="5"/>
      <c r="D169" s="5"/>
      <c r="E169" s="5"/>
      <c r="F169" s="5"/>
      <c r="G169" s="6" t="str">
        <f>IF($F169="","",IF(ISNA(VLOOKUP($F169,'Référentiel VGP'!$A$2:$B$33,2,FALSE)),"",VLOOKUP($F169,'Référentiel VGP'!$A$2:$B$33,2,FALSE)))</f>
        <v/>
      </c>
      <c r="H169" s="7"/>
      <c r="I169" s="8" t="str">
        <f>IF(OR($H169="",NOT(ISNUMBER($G169))),"",MIN(DATE(YEAR($H169),MONTH($H169)+$G169,DAY($H169)),DATE(YEAR($H169),MONTH($H169)+$G169+1,0)))</f>
        <v/>
      </c>
      <c r="J169" s="6" t="str">
        <f>IF($I169="","",$I169-TODAY())</f>
        <v/>
      </c>
      <c r="K169" s="9" t="str">
        <f>IF($F169="","",IF(NOT(ISNUMBER($G169)),"Hors champ",IF($H169="","À renseigner",IF($J169&lt;0,"Dépassée",IF($J169&lt;=30,"À planifier","À jour")))))</f>
        <v/>
      </c>
      <c r="L169" s="5"/>
      <c r="M169" s="5"/>
      <c r="N169" s="5"/>
    </row>
    <row r="170" spans="1:14" x14ac:dyDescent="0.25">
      <c r="A170" s="5"/>
      <c r="B170" s="5"/>
      <c r="C170" s="5"/>
      <c r="D170" s="5"/>
      <c r="E170" s="5"/>
      <c r="F170" s="5"/>
      <c r="G170" s="6" t="str">
        <f>IF($F170="","",IF(ISNA(VLOOKUP($F170,'Référentiel VGP'!$A$2:$B$33,2,FALSE)),"",VLOOKUP($F170,'Référentiel VGP'!$A$2:$B$33,2,FALSE)))</f>
        <v/>
      </c>
      <c r="H170" s="7"/>
      <c r="I170" s="8" t="str">
        <f>IF(OR($H170="",NOT(ISNUMBER($G170))),"",MIN(DATE(YEAR($H170),MONTH($H170)+$G170,DAY($H170)),DATE(YEAR($H170),MONTH($H170)+$G170+1,0)))</f>
        <v/>
      </c>
      <c r="J170" s="6" t="str">
        <f>IF($I170="","",$I170-TODAY())</f>
        <v/>
      </c>
      <c r="K170" s="9" t="str">
        <f>IF($F170="","",IF(NOT(ISNUMBER($G170)),"Hors champ",IF($H170="","À renseigner",IF($J170&lt;0,"Dépassée",IF($J170&lt;=30,"À planifier","À jour")))))</f>
        <v/>
      </c>
      <c r="L170" s="5"/>
      <c r="M170" s="5"/>
      <c r="N170" s="5"/>
    </row>
    <row r="171" spans="1:14" x14ac:dyDescent="0.25">
      <c r="A171" s="5"/>
      <c r="B171" s="5"/>
      <c r="C171" s="5"/>
      <c r="D171" s="5"/>
      <c r="E171" s="5"/>
      <c r="F171" s="5"/>
      <c r="G171" s="6" t="str">
        <f>IF($F171="","",IF(ISNA(VLOOKUP($F171,'Référentiel VGP'!$A$2:$B$33,2,FALSE)),"",VLOOKUP($F171,'Référentiel VGP'!$A$2:$B$33,2,FALSE)))</f>
        <v/>
      </c>
      <c r="H171" s="7"/>
      <c r="I171" s="8" t="str">
        <f>IF(OR($H171="",NOT(ISNUMBER($G171))),"",MIN(DATE(YEAR($H171),MONTH($H171)+$G171,DAY($H171)),DATE(YEAR($H171),MONTH($H171)+$G171+1,0)))</f>
        <v/>
      </c>
      <c r="J171" s="6" t="str">
        <f>IF($I171="","",$I171-TODAY())</f>
        <v/>
      </c>
      <c r="K171" s="9" t="str">
        <f>IF($F171="","",IF(NOT(ISNUMBER($G171)),"Hors champ",IF($H171="","À renseigner",IF($J171&lt;0,"Dépassée",IF($J171&lt;=30,"À planifier","À jour")))))</f>
        <v/>
      </c>
      <c r="L171" s="5"/>
      <c r="M171" s="5"/>
      <c r="N171" s="5"/>
    </row>
    <row r="172" spans="1:14" x14ac:dyDescent="0.25">
      <c r="A172" s="5"/>
      <c r="B172" s="5"/>
      <c r="C172" s="5"/>
      <c r="D172" s="5"/>
      <c r="E172" s="5"/>
      <c r="F172" s="5"/>
      <c r="G172" s="6" t="str">
        <f>IF($F172="","",IF(ISNA(VLOOKUP($F172,'Référentiel VGP'!$A$2:$B$33,2,FALSE)),"",VLOOKUP($F172,'Référentiel VGP'!$A$2:$B$33,2,FALSE)))</f>
        <v/>
      </c>
      <c r="H172" s="7"/>
      <c r="I172" s="8" t="str">
        <f>IF(OR($H172="",NOT(ISNUMBER($G172))),"",MIN(DATE(YEAR($H172),MONTH($H172)+$G172,DAY($H172)),DATE(YEAR($H172),MONTH($H172)+$G172+1,0)))</f>
        <v/>
      </c>
      <c r="J172" s="6" t="str">
        <f>IF($I172="","",$I172-TODAY())</f>
        <v/>
      </c>
      <c r="K172" s="9" t="str">
        <f>IF($F172="","",IF(NOT(ISNUMBER($G172)),"Hors champ",IF($H172="","À renseigner",IF($J172&lt;0,"Dépassée",IF($J172&lt;=30,"À planifier","À jour")))))</f>
        <v/>
      </c>
      <c r="L172" s="5"/>
      <c r="M172" s="5"/>
      <c r="N172" s="5"/>
    </row>
    <row r="173" spans="1:14" x14ac:dyDescent="0.25">
      <c r="A173" s="5"/>
      <c r="B173" s="5"/>
      <c r="C173" s="5"/>
      <c r="D173" s="5"/>
      <c r="E173" s="5"/>
      <c r="F173" s="5"/>
      <c r="G173" s="6" t="str">
        <f>IF($F173="","",IF(ISNA(VLOOKUP($F173,'Référentiel VGP'!$A$2:$B$33,2,FALSE)),"",VLOOKUP($F173,'Référentiel VGP'!$A$2:$B$33,2,FALSE)))</f>
        <v/>
      </c>
      <c r="H173" s="7"/>
      <c r="I173" s="8" t="str">
        <f>IF(OR($H173="",NOT(ISNUMBER($G173))),"",MIN(DATE(YEAR($H173),MONTH($H173)+$G173,DAY($H173)),DATE(YEAR($H173),MONTH($H173)+$G173+1,0)))</f>
        <v/>
      </c>
      <c r="J173" s="6" t="str">
        <f>IF($I173="","",$I173-TODAY())</f>
        <v/>
      </c>
      <c r="K173" s="9" t="str">
        <f>IF($F173="","",IF(NOT(ISNUMBER($G173)),"Hors champ",IF($H173="","À renseigner",IF($J173&lt;0,"Dépassée",IF($J173&lt;=30,"À planifier","À jour")))))</f>
        <v/>
      </c>
      <c r="L173" s="5"/>
      <c r="M173" s="5"/>
      <c r="N173" s="5"/>
    </row>
    <row r="174" spans="1:14" x14ac:dyDescent="0.25">
      <c r="A174" s="5"/>
      <c r="B174" s="5"/>
      <c r="C174" s="5"/>
      <c r="D174" s="5"/>
      <c r="E174" s="5"/>
      <c r="F174" s="5"/>
      <c r="G174" s="6" t="str">
        <f>IF($F174="","",IF(ISNA(VLOOKUP($F174,'Référentiel VGP'!$A$2:$B$33,2,FALSE)),"",VLOOKUP($F174,'Référentiel VGP'!$A$2:$B$33,2,FALSE)))</f>
        <v/>
      </c>
      <c r="H174" s="7"/>
      <c r="I174" s="8" t="str">
        <f>IF(OR($H174="",NOT(ISNUMBER($G174))),"",MIN(DATE(YEAR($H174),MONTH($H174)+$G174,DAY($H174)),DATE(YEAR($H174),MONTH($H174)+$G174+1,0)))</f>
        <v/>
      </c>
      <c r="J174" s="6" t="str">
        <f>IF($I174="","",$I174-TODAY())</f>
        <v/>
      </c>
      <c r="K174" s="9" t="str">
        <f>IF($F174="","",IF(NOT(ISNUMBER($G174)),"Hors champ",IF($H174="","À renseigner",IF($J174&lt;0,"Dépassée",IF($J174&lt;=30,"À planifier","À jour")))))</f>
        <v/>
      </c>
      <c r="L174" s="5"/>
      <c r="M174" s="5"/>
      <c r="N174" s="5"/>
    </row>
    <row r="175" spans="1:14" x14ac:dyDescent="0.25">
      <c r="A175" s="5"/>
      <c r="B175" s="5"/>
      <c r="C175" s="5"/>
      <c r="D175" s="5"/>
      <c r="E175" s="5"/>
      <c r="F175" s="5"/>
      <c r="G175" s="6" t="str">
        <f>IF($F175="","",IF(ISNA(VLOOKUP($F175,'Référentiel VGP'!$A$2:$B$33,2,FALSE)),"",VLOOKUP($F175,'Référentiel VGP'!$A$2:$B$33,2,FALSE)))</f>
        <v/>
      </c>
      <c r="H175" s="7"/>
      <c r="I175" s="8" t="str">
        <f>IF(OR($H175="",NOT(ISNUMBER($G175))),"",MIN(DATE(YEAR($H175),MONTH($H175)+$G175,DAY($H175)),DATE(YEAR($H175),MONTH($H175)+$G175+1,0)))</f>
        <v/>
      </c>
      <c r="J175" s="6" t="str">
        <f>IF($I175="","",$I175-TODAY())</f>
        <v/>
      </c>
      <c r="K175" s="9" t="str">
        <f>IF($F175="","",IF(NOT(ISNUMBER($G175)),"Hors champ",IF($H175="","À renseigner",IF($J175&lt;0,"Dépassée",IF($J175&lt;=30,"À planifier","À jour")))))</f>
        <v/>
      </c>
      <c r="L175" s="5"/>
      <c r="M175" s="5"/>
      <c r="N175" s="5"/>
    </row>
    <row r="176" spans="1:14" x14ac:dyDescent="0.25">
      <c r="A176" s="5"/>
      <c r="B176" s="5"/>
      <c r="C176" s="5"/>
      <c r="D176" s="5"/>
      <c r="E176" s="5"/>
      <c r="F176" s="5"/>
      <c r="G176" s="6" t="str">
        <f>IF($F176="","",IF(ISNA(VLOOKUP($F176,'Référentiel VGP'!$A$2:$B$33,2,FALSE)),"",VLOOKUP($F176,'Référentiel VGP'!$A$2:$B$33,2,FALSE)))</f>
        <v/>
      </c>
      <c r="H176" s="7"/>
      <c r="I176" s="8" t="str">
        <f>IF(OR($H176="",NOT(ISNUMBER($G176))),"",MIN(DATE(YEAR($H176),MONTH($H176)+$G176,DAY($H176)),DATE(YEAR($H176),MONTH($H176)+$G176+1,0)))</f>
        <v/>
      </c>
      <c r="J176" s="6" t="str">
        <f>IF($I176="","",$I176-TODAY())</f>
        <v/>
      </c>
      <c r="K176" s="9" t="str">
        <f>IF($F176="","",IF(NOT(ISNUMBER($G176)),"Hors champ",IF($H176="","À renseigner",IF($J176&lt;0,"Dépassée",IF($J176&lt;=30,"À planifier","À jour")))))</f>
        <v/>
      </c>
      <c r="L176" s="5"/>
      <c r="M176" s="5"/>
      <c r="N176" s="5"/>
    </row>
    <row r="177" spans="1:14" x14ac:dyDescent="0.25">
      <c r="A177" s="5"/>
      <c r="B177" s="5"/>
      <c r="C177" s="5"/>
      <c r="D177" s="5"/>
      <c r="E177" s="5"/>
      <c r="F177" s="5"/>
      <c r="G177" s="6" t="str">
        <f>IF($F177="","",IF(ISNA(VLOOKUP($F177,'Référentiel VGP'!$A$2:$B$33,2,FALSE)),"",VLOOKUP($F177,'Référentiel VGP'!$A$2:$B$33,2,FALSE)))</f>
        <v/>
      </c>
      <c r="H177" s="7"/>
      <c r="I177" s="8" t="str">
        <f>IF(OR($H177="",NOT(ISNUMBER($G177))),"",MIN(DATE(YEAR($H177),MONTH($H177)+$G177,DAY($H177)),DATE(YEAR($H177),MONTH($H177)+$G177+1,0)))</f>
        <v/>
      </c>
      <c r="J177" s="6" t="str">
        <f>IF($I177="","",$I177-TODAY())</f>
        <v/>
      </c>
      <c r="K177" s="9" t="str">
        <f>IF($F177="","",IF(NOT(ISNUMBER($G177)),"Hors champ",IF($H177="","À renseigner",IF($J177&lt;0,"Dépassée",IF($J177&lt;=30,"À planifier","À jour")))))</f>
        <v/>
      </c>
      <c r="L177" s="5"/>
      <c r="M177" s="5"/>
      <c r="N177" s="5"/>
    </row>
    <row r="178" spans="1:14" x14ac:dyDescent="0.25">
      <c r="A178" s="5"/>
      <c r="B178" s="5"/>
      <c r="C178" s="5"/>
      <c r="D178" s="5"/>
      <c r="E178" s="5"/>
      <c r="F178" s="5"/>
      <c r="G178" s="6" t="str">
        <f>IF($F178="","",IF(ISNA(VLOOKUP($F178,'Référentiel VGP'!$A$2:$B$33,2,FALSE)),"",VLOOKUP($F178,'Référentiel VGP'!$A$2:$B$33,2,FALSE)))</f>
        <v/>
      </c>
      <c r="H178" s="7"/>
      <c r="I178" s="8" t="str">
        <f>IF(OR($H178="",NOT(ISNUMBER($G178))),"",MIN(DATE(YEAR($H178),MONTH($H178)+$G178,DAY($H178)),DATE(YEAR($H178),MONTH($H178)+$G178+1,0)))</f>
        <v/>
      </c>
      <c r="J178" s="6" t="str">
        <f>IF($I178="","",$I178-TODAY())</f>
        <v/>
      </c>
      <c r="K178" s="9" t="str">
        <f>IF($F178="","",IF(NOT(ISNUMBER($G178)),"Hors champ",IF($H178="","À renseigner",IF($J178&lt;0,"Dépassée",IF($J178&lt;=30,"À planifier","À jour")))))</f>
        <v/>
      </c>
      <c r="L178" s="5"/>
      <c r="M178" s="5"/>
      <c r="N178" s="5"/>
    </row>
    <row r="179" spans="1:14" x14ac:dyDescent="0.25">
      <c r="A179" s="5"/>
      <c r="B179" s="5"/>
      <c r="C179" s="5"/>
      <c r="D179" s="5"/>
      <c r="E179" s="5"/>
      <c r="F179" s="5"/>
      <c r="G179" s="6" t="str">
        <f>IF($F179="","",IF(ISNA(VLOOKUP($F179,'Référentiel VGP'!$A$2:$B$33,2,FALSE)),"",VLOOKUP($F179,'Référentiel VGP'!$A$2:$B$33,2,FALSE)))</f>
        <v/>
      </c>
      <c r="H179" s="7"/>
      <c r="I179" s="8" t="str">
        <f>IF(OR($H179="",NOT(ISNUMBER($G179))),"",MIN(DATE(YEAR($H179),MONTH($H179)+$G179,DAY($H179)),DATE(YEAR($H179),MONTH($H179)+$G179+1,0)))</f>
        <v/>
      </c>
      <c r="J179" s="6" t="str">
        <f>IF($I179="","",$I179-TODAY())</f>
        <v/>
      </c>
      <c r="K179" s="9" t="str">
        <f>IF($F179="","",IF(NOT(ISNUMBER($G179)),"Hors champ",IF($H179="","À renseigner",IF($J179&lt;0,"Dépassée",IF($J179&lt;=30,"À planifier","À jour")))))</f>
        <v/>
      </c>
      <c r="L179" s="5"/>
      <c r="M179" s="5"/>
      <c r="N179" s="5"/>
    </row>
    <row r="180" spans="1:14" x14ac:dyDescent="0.25">
      <c r="A180" s="5"/>
      <c r="B180" s="5"/>
      <c r="C180" s="5"/>
      <c r="D180" s="5"/>
      <c r="E180" s="5"/>
      <c r="F180" s="5"/>
      <c r="G180" s="6" t="str">
        <f>IF($F180="","",IF(ISNA(VLOOKUP($F180,'Référentiel VGP'!$A$2:$B$33,2,FALSE)),"",VLOOKUP($F180,'Référentiel VGP'!$A$2:$B$33,2,FALSE)))</f>
        <v/>
      </c>
      <c r="H180" s="7"/>
      <c r="I180" s="8" t="str">
        <f>IF(OR($H180="",NOT(ISNUMBER($G180))),"",MIN(DATE(YEAR($H180),MONTH($H180)+$G180,DAY($H180)),DATE(YEAR($H180),MONTH($H180)+$G180+1,0)))</f>
        <v/>
      </c>
      <c r="J180" s="6" t="str">
        <f>IF($I180="","",$I180-TODAY())</f>
        <v/>
      </c>
      <c r="K180" s="9" t="str">
        <f>IF($F180="","",IF(NOT(ISNUMBER($G180)),"Hors champ",IF($H180="","À renseigner",IF($J180&lt;0,"Dépassée",IF($J180&lt;=30,"À planifier","À jour")))))</f>
        <v/>
      </c>
      <c r="L180" s="5"/>
      <c r="M180" s="5"/>
      <c r="N180" s="5"/>
    </row>
    <row r="181" spans="1:14" x14ac:dyDescent="0.25">
      <c r="A181" s="5"/>
      <c r="B181" s="5"/>
      <c r="C181" s="5"/>
      <c r="D181" s="5"/>
      <c r="E181" s="5"/>
      <c r="F181" s="5"/>
      <c r="G181" s="6" t="str">
        <f>IF($F181="","",IF(ISNA(VLOOKUP($F181,'Référentiel VGP'!$A$2:$B$33,2,FALSE)),"",VLOOKUP($F181,'Référentiel VGP'!$A$2:$B$33,2,FALSE)))</f>
        <v/>
      </c>
      <c r="H181" s="7"/>
      <c r="I181" s="8" t="str">
        <f>IF(OR($H181="",NOT(ISNUMBER($G181))),"",MIN(DATE(YEAR($H181),MONTH($H181)+$G181,DAY($H181)),DATE(YEAR($H181),MONTH($H181)+$G181+1,0)))</f>
        <v/>
      </c>
      <c r="J181" s="6" t="str">
        <f>IF($I181="","",$I181-TODAY())</f>
        <v/>
      </c>
      <c r="K181" s="9" t="str">
        <f>IF($F181="","",IF(NOT(ISNUMBER($G181)),"Hors champ",IF($H181="","À renseigner",IF($J181&lt;0,"Dépassée",IF($J181&lt;=30,"À planifier","À jour")))))</f>
        <v/>
      </c>
      <c r="L181" s="5"/>
      <c r="M181" s="5"/>
      <c r="N181" s="5"/>
    </row>
    <row r="182" spans="1:14" x14ac:dyDescent="0.25">
      <c r="A182" s="5"/>
      <c r="B182" s="5"/>
      <c r="C182" s="5"/>
      <c r="D182" s="5"/>
      <c r="E182" s="5"/>
      <c r="F182" s="5"/>
      <c r="G182" s="6" t="str">
        <f>IF($F182="","",IF(ISNA(VLOOKUP($F182,'Référentiel VGP'!$A$2:$B$33,2,FALSE)),"",VLOOKUP($F182,'Référentiel VGP'!$A$2:$B$33,2,FALSE)))</f>
        <v/>
      </c>
      <c r="H182" s="7"/>
      <c r="I182" s="8" t="str">
        <f>IF(OR($H182="",NOT(ISNUMBER($G182))),"",MIN(DATE(YEAR($H182),MONTH($H182)+$G182,DAY($H182)),DATE(YEAR($H182),MONTH($H182)+$G182+1,0)))</f>
        <v/>
      </c>
      <c r="J182" s="6" t="str">
        <f>IF($I182="","",$I182-TODAY())</f>
        <v/>
      </c>
      <c r="K182" s="9" t="str">
        <f>IF($F182="","",IF(NOT(ISNUMBER($G182)),"Hors champ",IF($H182="","À renseigner",IF($J182&lt;0,"Dépassée",IF($J182&lt;=30,"À planifier","À jour")))))</f>
        <v/>
      </c>
      <c r="L182" s="5"/>
      <c r="M182" s="5"/>
      <c r="N182" s="5"/>
    </row>
    <row r="183" spans="1:14" x14ac:dyDescent="0.25">
      <c r="A183" s="5"/>
      <c r="B183" s="5"/>
      <c r="C183" s="5"/>
      <c r="D183" s="5"/>
      <c r="E183" s="5"/>
      <c r="F183" s="5"/>
      <c r="G183" s="6" t="str">
        <f>IF($F183="","",IF(ISNA(VLOOKUP($F183,'Référentiel VGP'!$A$2:$B$33,2,FALSE)),"",VLOOKUP($F183,'Référentiel VGP'!$A$2:$B$33,2,FALSE)))</f>
        <v/>
      </c>
      <c r="H183" s="7"/>
      <c r="I183" s="8" t="str">
        <f>IF(OR($H183="",NOT(ISNUMBER($G183))),"",MIN(DATE(YEAR($H183),MONTH($H183)+$G183,DAY($H183)),DATE(YEAR($H183),MONTH($H183)+$G183+1,0)))</f>
        <v/>
      </c>
      <c r="J183" s="6" t="str">
        <f>IF($I183="","",$I183-TODAY())</f>
        <v/>
      </c>
      <c r="K183" s="9" t="str">
        <f>IF($F183="","",IF(NOT(ISNUMBER($G183)),"Hors champ",IF($H183="","À renseigner",IF($J183&lt;0,"Dépassée",IF($J183&lt;=30,"À planifier","À jour")))))</f>
        <v/>
      </c>
      <c r="L183" s="5"/>
      <c r="M183" s="5"/>
      <c r="N183" s="5"/>
    </row>
    <row r="184" spans="1:14" x14ac:dyDescent="0.25">
      <c r="A184" s="5"/>
      <c r="B184" s="5"/>
      <c r="C184" s="5"/>
      <c r="D184" s="5"/>
      <c r="E184" s="5"/>
      <c r="F184" s="5"/>
      <c r="G184" s="6" t="str">
        <f>IF($F184="","",IF(ISNA(VLOOKUP($F184,'Référentiel VGP'!$A$2:$B$33,2,FALSE)),"",VLOOKUP($F184,'Référentiel VGP'!$A$2:$B$33,2,FALSE)))</f>
        <v/>
      </c>
      <c r="H184" s="7"/>
      <c r="I184" s="8" t="str">
        <f>IF(OR($H184="",NOT(ISNUMBER($G184))),"",MIN(DATE(YEAR($H184),MONTH($H184)+$G184,DAY($H184)),DATE(YEAR($H184),MONTH($H184)+$G184+1,0)))</f>
        <v/>
      </c>
      <c r="J184" s="6" t="str">
        <f>IF($I184="","",$I184-TODAY())</f>
        <v/>
      </c>
      <c r="K184" s="9" t="str">
        <f>IF($F184="","",IF(NOT(ISNUMBER($G184)),"Hors champ",IF($H184="","À renseigner",IF($J184&lt;0,"Dépassée",IF($J184&lt;=30,"À planifier","À jour")))))</f>
        <v/>
      </c>
      <c r="L184" s="5"/>
      <c r="M184" s="5"/>
      <c r="N184" s="5"/>
    </row>
    <row r="185" spans="1:14" x14ac:dyDescent="0.25">
      <c r="A185" s="5"/>
      <c r="B185" s="5"/>
      <c r="C185" s="5"/>
      <c r="D185" s="5"/>
      <c r="E185" s="5"/>
      <c r="F185" s="5"/>
      <c r="G185" s="6" t="str">
        <f>IF($F185="","",IF(ISNA(VLOOKUP($F185,'Référentiel VGP'!$A$2:$B$33,2,FALSE)),"",VLOOKUP($F185,'Référentiel VGP'!$A$2:$B$33,2,FALSE)))</f>
        <v/>
      </c>
      <c r="H185" s="7"/>
      <c r="I185" s="8" t="str">
        <f>IF(OR($H185="",NOT(ISNUMBER($G185))),"",MIN(DATE(YEAR($H185),MONTH($H185)+$G185,DAY($H185)),DATE(YEAR($H185),MONTH($H185)+$G185+1,0)))</f>
        <v/>
      </c>
      <c r="J185" s="6" t="str">
        <f>IF($I185="","",$I185-TODAY())</f>
        <v/>
      </c>
      <c r="K185" s="9" t="str">
        <f>IF($F185="","",IF(NOT(ISNUMBER($G185)),"Hors champ",IF($H185="","À renseigner",IF($J185&lt;0,"Dépassée",IF($J185&lt;=30,"À planifier","À jour")))))</f>
        <v/>
      </c>
      <c r="L185" s="5"/>
      <c r="M185" s="5"/>
      <c r="N185" s="5"/>
    </row>
    <row r="186" spans="1:14" x14ac:dyDescent="0.25">
      <c r="A186" s="5"/>
      <c r="B186" s="5"/>
      <c r="C186" s="5"/>
      <c r="D186" s="5"/>
      <c r="E186" s="5"/>
      <c r="F186" s="5"/>
      <c r="G186" s="6" t="str">
        <f>IF($F186="","",IF(ISNA(VLOOKUP($F186,'Référentiel VGP'!$A$2:$B$33,2,FALSE)),"",VLOOKUP($F186,'Référentiel VGP'!$A$2:$B$33,2,FALSE)))</f>
        <v/>
      </c>
      <c r="H186" s="7"/>
      <c r="I186" s="8" t="str">
        <f>IF(OR($H186="",NOT(ISNUMBER($G186))),"",MIN(DATE(YEAR($H186),MONTH($H186)+$G186,DAY($H186)),DATE(YEAR($H186),MONTH($H186)+$G186+1,0)))</f>
        <v/>
      </c>
      <c r="J186" s="6" t="str">
        <f>IF($I186="","",$I186-TODAY())</f>
        <v/>
      </c>
      <c r="K186" s="9" t="str">
        <f>IF($F186="","",IF(NOT(ISNUMBER($G186)),"Hors champ",IF($H186="","À renseigner",IF($J186&lt;0,"Dépassée",IF($J186&lt;=30,"À planifier","À jour")))))</f>
        <v/>
      </c>
      <c r="L186" s="5"/>
      <c r="M186" s="5"/>
      <c r="N186" s="5"/>
    </row>
    <row r="187" spans="1:14" x14ac:dyDescent="0.25">
      <c r="A187" s="5"/>
      <c r="B187" s="5"/>
      <c r="C187" s="5"/>
      <c r="D187" s="5"/>
      <c r="E187" s="5"/>
      <c r="F187" s="5"/>
      <c r="G187" s="6" t="str">
        <f>IF($F187="","",IF(ISNA(VLOOKUP($F187,'Référentiel VGP'!$A$2:$B$33,2,FALSE)),"",VLOOKUP($F187,'Référentiel VGP'!$A$2:$B$33,2,FALSE)))</f>
        <v/>
      </c>
      <c r="H187" s="7"/>
      <c r="I187" s="8" t="str">
        <f>IF(OR($H187="",NOT(ISNUMBER($G187))),"",MIN(DATE(YEAR($H187),MONTH($H187)+$G187,DAY($H187)),DATE(YEAR($H187),MONTH($H187)+$G187+1,0)))</f>
        <v/>
      </c>
      <c r="J187" s="6" t="str">
        <f>IF($I187="","",$I187-TODAY())</f>
        <v/>
      </c>
      <c r="K187" s="9" t="str">
        <f>IF($F187="","",IF(NOT(ISNUMBER($G187)),"Hors champ",IF($H187="","À renseigner",IF($J187&lt;0,"Dépassée",IF($J187&lt;=30,"À planifier","À jour")))))</f>
        <v/>
      </c>
      <c r="L187" s="5"/>
      <c r="M187" s="5"/>
      <c r="N187" s="5"/>
    </row>
    <row r="188" spans="1:14" x14ac:dyDescent="0.25">
      <c r="A188" s="5"/>
      <c r="B188" s="5"/>
      <c r="C188" s="5"/>
      <c r="D188" s="5"/>
      <c r="E188" s="5"/>
      <c r="F188" s="5"/>
      <c r="G188" s="6" t="str">
        <f>IF($F188="","",IF(ISNA(VLOOKUP($F188,'Référentiel VGP'!$A$2:$B$33,2,FALSE)),"",VLOOKUP($F188,'Référentiel VGP'!$A$2:$B$33,2,FALSE)))</f>
        <v/>
      </c>
      <c r="H188" s="7"/>
      <c r="I188" s="8" t="str">
        <f>IF(OR($H188="",NOT(ISNUMBER($G188))),"",MIN(DATE(YEAR($H188),MONTH($H188)+$G188,DAY($H188)),DATE(YEAR($H188),MONTH($H188)+$G188+1,0)))</f>
        <v/>
      </c>
      <c r="J188" s="6" t="str">
        <f>IF($I188="","",$I188-TODAY())</f>
        <v/>
      </c>
      <c r="K188" s="9" t="str">
        <f>IF($F188="","",IF(NOT(ISNUMBER($G188)),"Hors champ",IF($H188="","À renseigner",IF($J188&lt;0,"Dépassée",IF($J188&lt;=30,"À planifier","À jour")))))</f>
        <v/>
      </c>
      <c r="L188" s="5"/>
      <c r="M188" s="5"/>
      <c r="N188" s="5"/>
    </row>
    <row r="189" spans="1:14" x14ac:dyDescent="0.25">
      <c r="A189" s="5"/>
      <c r="B189" s="5"/>
      <c r="C189" s="5"/>
      <c r="D189" s="5"/>
      <c r="E189" s="5"/>
      <c r="F189" s="5"/>
      <c r="G189" s="6" t="str">
        <f>IF($F189="","",IF(ISNA(VLOOKUP($F189,'Référentiel VGP'!$A$2:$B$33,2,FALSE)),"",VLOOKUP($F189,'Référentiel VGP'!$A$2:$B$33,2,FALSE)))</f>
        <v/>
      </c>
      <c r="H189" s="7"/>
      <c r="I189" s="8" t="str">
        <f>IF(OR($H189="",NOT(ISNUMBER($G189))),"",MIN(DATE(YEAR($H189),MONTH($H189)+$G189,DAY($H189)),DATE(YEAR($H189),MONTH($H189)+$G189+1,0)))</f>
        <v/>
      </c>
      <c r="J189" s="6" t="str">
        <f>IF($I189="","",$I189-TODAY())</f>
        <v/>
      </c>
      <c r="K189" s="9" t="str">
        <f>IF($F189="","",IF(NOT(ISNUMBER($G189)),"Hors champ",IF($H189="","À renseigner",IF($J189&lt;0,"Dépassée",IF($J189&lt;=30,"À planifier","À jour")))))</f>
        <v/>
      </c>
      <c r="L189" s="5"/>
      <c r="M189" s="5"/>
      <c r="N189" s="5"/>
    </row>
    <row r="190" spans="1:14" x14ac:dyDescent="0.25">
      <c r="A190" s="5"/>
      <c r="B190" s="5"/>
      <c r="C190" s="5"/>
      <c r="D190" s="5"/>
      <c r="E190" s="5"/>
      <c r="F190" s="5"/>
      <c r="G190" s="6" t="str">
        <f>IF($F190="","",IF(ISNA(VLOOKUP($F190,'Référentiel VGP'!$A$2:$B$33,2,FALSE)),"",VLOOKUP($F190,'Référentiel VGP'!$A$2:$B$33,2,FALSE)))</f>
        <v/>
      </c>
      <c r="H190" s="7"/>
      <c r="I190" s="8" t="str">
        <f>IF(OR($H190="",NOT(ISNUMBER($G190))),"",MIN(DATE(YEAR($H190),MONTH($H190)+$G190,DAY($H190)),DATE(YEAR($H190),MONTH($H190)+$G190+1,0)))</f>
        <v/>
      </c>
      <c r="J190" s="6" t="str">
        <f>IF($I190="","",$I190-TODAY())</f>
        <v/>
      </c>
      <c r="K190" s="9" t="str">
        <f>IF($F190="","",IF(NOT(ISNUMBER($G190)),"Hors champ",IF($H190="","À renseigner",IF($J190&lt;0,"Dépassée",IF($J190&lt;=30,"À planifier","À jour")))))</f>
        <v/>
      </c>
      <c r="L190" s="5"/>
      <c r="M190" s="5"/>
      <c r="N190" s="5"/>
    </row>
    <row r="191" spans="1:14" x14ac:dyDescent="0.25">
      <c r="A191" s="5"/>
      <c r="B191" s="5"/>
      <c r="C191" s="5"/>
      <c r="D191" s="5"/>
      <c r="E191" s="5"/>
      <c r="F191" s="5"/>
      <c r="G191" s="6" t="str">
        <f>IF($F191="","",IF(ISNA(VLOOKUP($F191,'Référentiel VGP'!$A$2:$B$33,2,FALSE)),"",VLOOKUP($F191,'Référentiel VGP'!$A$2:$B$33,2,FALSE)))</f>
        <v/>
      </c>
      <c r="H191" s="7"/>
      <c r="I191" s="8" t="str">
        <f>IF(OR($H191="",NOT(ISNUMBER($G191))),"",MIN(DATE(YEAR($H191),MONTH($H191)+$G191,DAY($H191)),DATE(YEAR($H191),MONTH($H191)+$G191+1,0)))</f>
        <v/>
      </c>
      <c r="J191" s="6" t="str">
        <f>IF($I191="","",$I191-TODAY())</f>
        <v/>
      </c>
      <c r="K191" s="9" t="str">
        <f>IF($F191="","",IF(NOT(ISNUMBER($G191)),"Hors champ",IF($H191="","À renseigner",IF($J191&lt;0,"Dépassée",IF($J191&lt;=30,"À planifier","À jour")))))</f>
        <v/>
      </c>
      <c r="L191" s="5"/>
      <c r="M191" s="5"/>
      <c r="N191" s="5"/>
    </row>
    <row r="192" spans="1:14" x14ac:dyDescent="0.25">
      <c r="A192" s="5"/>
      <c r="B192" s="5"/>
      <c r="C192" s="5"/>
      <c r="D192" s="5"/>
      <c r="E192" s="5"/>
      <c r="F192" s="5"/>
      <c r="G192" s="6" t="str">
        <f>IF($F192="","",IF(ISNA(VLOOKUP($F192,'Référentiel VGP'!$A$2:$B$33,2,FALSE)),"",VLOOKUP($F192,'Référentiel VGP'!$A$2:$B$33,2,FALSE)))</f>
        <v/>
      </c>
      <c r="H192" s="7"/>
      <c r="I192" s="8" t="str">
        <f>IF(OR($H192="",NOT(ISNUMBER($G192))),"",MIN(DATE(YEAR($H192),MONTH($H192)+$G192,DAY($H192)),DATE(YEAR($H192),MONTH($H192)+$G192+1,0)))</f>
        <v/>
      </c>
      <c r="J192" s="6" t="str">
        <f>IF($I192="","",$I192-TODAY())</f>
        <v/>
      </c>
      <c r="K192" s="9" t="str">
        <f>IF($F192="","",IF(NOT(ISNUMBER($G192)),"Hors champ",IF($H192="","À renseigner",IF($J192&lt;0,"Dépassée",IF($J192&lt;=30,"À planifier","À jour")))))</f>
        <v/>
      </c>
      <c r="L192" s="5"/>
      <c r="M192" s="5"/>
      <c r="N192" s="5"/>
    </row>
    <row r="193" spans="1:14" x14ac:dyDescent="0.25">
      <c r="A193" s="5"/>
      <c r="B193" s="5"/>
      <c r="C193" s="5"/>
      <c r="D193" s="5"/>
      <c r="E193" s="5"/>
      <c r="F193" s="5"/>
      <c r="G193" s="6" t="str">
        <f>IF($F193="","",IF(ISNA(VLOOKUP($F193,'Référentiel VGP'!$A$2:$B$33,2,FALSE)),"",VLOOKUP($F193,'Référentiel VGP'!$A$2:$B$33,2,FALSE)))</f>
        <v/>
      </c>
      <c r="H193" s="7"/>
      <c r="I193" s="8" t="str">
        <f>IF(OR($H193="",NOT(ISNUMBER($G193))),"",MIN(DATE(YEAR($H193),MONTH($H193)+$G193,DAY($H193)),DATE(YEAR($H193),MONTH($H193)+$G193+1,0)))</f>
        <v/>
      </c>
      <c r="J193" s="6" t="str">
        <f>IF($I193="","",$I193-TODAY())</f>
        <v/>
      </c>
      <c r="K193" s="9" t="str">
        <f>IF($F193="","",IF(NOT(ISNUMBER($G193)),"Hors champ",IF($H193="","À renseigner",IF($J193&lt;0,"Dépassée",IF($J193&lt;=30,"À planifier","À jour")))))</f>
        <v/>
      </c>
      <c r="L193" s="5"/>
      <c r="M193" s="5"/>
      <c r="N193" s="5"/>
    </row>
    <row r="194" spans="1:14" x14ac:dyDescent="0.25">
      <c r="A194" s="5"/>
      <c r="B194" s="5"/>
      <c r="C194" s="5"/>
      <c r="D194" s="5"/>
      <c r="E194" s="5"/>
      <c r="F194" s="5"/>
      <c r="G194" s="6" t="str">
        <f>IF($F194="","",IF(ISNA(VLOOKUP($F194,'Référentiel VGP'!$A$2:$B$33,2,FALSE)),"",VLOOKUP($F194,'Référentiel VGP'!$A$2:$B$33,2,FALSE)))</f>
        <v/>
      </c>
      <c r="H194" s="7"/>
      <c r="I194" s="8" t="str">
        <f>IF(OR($H194="",NOT(ISNUMBER($G194))),"",MIN(DATE(YEAR($H194),MONTH($H194)+$G194,DAY($H194)),DATE(YEAR($H194),MONTH($H194)+$G194+1,0)))</f>
        <v/>
      </c>
      <c r="J194" s="6" t="str">
        <f>IF($I194="","",$I194-TODAY())</f>
        <v/>
      </c>
      <c r="K194" s="9" t="str">
        <f>IF($F194="","",IF(NOT(ISNUMBER($G194)),"Hors champ",IF($H194="","À renseigner",IF($J194&lt;0,"Dépassée",IF($J194&lt;=30,"À planifier","À jour")))))</f>
        <v/>
      </c>
      <c r="L194" s="5"/>
      <c r="M194" s="5"/>
      <c r="N194" s="5"/>
    </row>
    <row r="195" spans="1:14" x14ac:dyDescent="0.25">
      <c r="A195" s="5"/>
      <c r="B195" s="5"/>
      <c r="C195" s="5"/>
      <c r="D195" s="5"/>
      <c r="E195" s="5"/>
      <c r="F195" s="5"/>
      <c r="G195" s="6" t="str">
        <f>IF($F195="","",IF(ISNA(VLOOKUP($F195,'Référentiel VGP'!$A$2:$B$33,2,FALSE)),"",VLOOKUP($F195,'Référentiel VGP'!$A$2:$B$33,2,FALSE)))</f>
        <v/>
      </c>
      <c r="H195" s="7"/>
      <c r="I195" s="8" t="str">
        <f>IF(OR($H195="",NOT(ISNUMBER($G195))),"",MIN(DATE(YEAR($H195),MONTH($H195)+$G195,DAY($H195)),DATE(YEAR($H195),MONTH($H195)+$G195+1,0)))</f>
        <v/>
      </c>
      <c r="J195" s="6" t="str">
        <f>IF($I195="","",$I195-TODAY())</f>
        <v/>
      </c>
      <c r="K195" s="9" t="str">
        <f>IF($F195="","",IF(NOT(ISNUMBER($G195)),"Hors champ",IF($H195="","À renseigner",IF($J195&lt;0,"Dépassée",IF($J195&lt;=30,"À planifier","À jour")))))</f>
        <v/>
      </c>
      <c r="L195" s="5"/>
      <c r="M195" s="5"/>
      <c r="N195" s="5"/>
    </row>
    <row r="196" spans="1:14" x14ac:dyDescent="0.25">
      <c r="A196" s="5"/>
      <c r="B196" s="5"/>
      <c r="C196" s="5"/>
      <c r="D196" s="5"/>
      <c r="E196" s="5"/>
      <c r="F196" s="5"/>
      <c r="G196" s="6" t="str">
        <f>IF($F196="","",IF(ISNA(VLOOKUP($F196,'Référentiel VGP'!$A$2:$B$33,2,FALSE)),"",VLOOKUP($F196,'Référentiel VGP'!$A$2:$B$33,2,FALSE)))</f>
        <v/>
      </c>
      <c r="H196" s="7"/>
      <c r="I196" s="8" t="str">
        <f>IF(OR($H196="",NOT(ISNUMBER($G196))),"",MIN(DATE(YEAR($H196),MONTH($H196)+$G196,DAY($H196)),DATE(YEAR($H196),MONTH($H196)+$G196+1,0)))</f>
        <v/>
      </c>
      <c r="J196" s="6" t="str">
        <f>IF($I196="","",$I196-TODAY())</f>
        <v/>
      </c>
      <c r="K196" s="9" t="str">
        <f>IF($F196="","",IF(NOT(ISNUMBER($G196)),"Hors champ",IF($H196="","À renseigner",IF($J196&lt;0,"Dépassée",IF($J196&lt;=30,"À planifier","À jour")))))</f>
        <v/>
      </c>
      <c r="L196" s="5"/>
      <c r="M196" s="5"/>
      <c r="N196" s="5"/>
    </row>
    <row r="197" spans="1:14" x14ac:dyDescent="0.25">
      <c r="A197" s="5"/>
      <c r="B197" s="5"/>
      <c r="C197" s="5"/>
      <c r="D197" s="5"/>
      <c r="E197" s="5"/>
      <c r="F197" s="5"/>
      <c r="G197" s="6" t="str">
        <f>IF($F197="","",IF(ISNA(VLOOKUP($F197,'Référentiel VGP'!$A$2:$B$33,2,FALSE)),"",VLOOKUP($F197,'Référentiel VGP'!$A$2:$B$33,2,FALSE)))</f>
        <v/>
      </c>
      <c r="H197" s="7"/>
      <c r="I197" s="8" t="str">
        <f>IF(OR($H197="",NOT(ISNUMBER($G197))),"",MIN(DATE(YEAR($H197),MONTH($H197)+$G197,DAY($H197)),DATE(YEAR($H197),MONTH($H197)+$G197+1,0)))</f>
        <v/>
      </c>
      <c r="J197" s="6" t="str">
        <f>IF($I197="","",$I197-TODAY())</f>
        <v/>
      </c>
      <c r="K197" s="9" t="str">
        <f>IF($F197="","",IF(NOT(ISNUMBER($G197)),"Hors champ",IF($H197="","À renseigner",IF($J197&lt;0,"Dépassée",IF($J197&lt;=30,"À planifier","À jour")))))</f>
        <v/>
      </c>
      <c r="L197" s="5"/>
      <c r="M197" s="5"/>
      <c r="N197" s="5"/>
    </row>
    <row r="198" spans="1:14" x14ac:dyDescent="0.25">
      <c r="A198" s="5"/>
      <c r="B198" s="5"/>
      <c r="C198" s="5"/>
      <c r="D198" s="5"/>
      <c r="E198" s="5"/>
      <c r="F198" s="5"/>
      <c r="G198" s="6" t="str">
        <f>IF($F198="","",IF(ISNA(VLOOKUP($F198,'Référentiel VGP'!$A$2:$B$33,2,FALSE)),"",VLOOKUP($F198,'Référentiel VGP'!$A$2:$B$33,2,FALSE)))</f>
        <v/>
      </c>
      <c r="H198" s="7"/>
      <c r="I198" s="8" t="str">
        <f>IF(OR($H198="",NOT(ISNUMBER($G198))),"",MIN(DATE(YEAR($H198),MONTH($H198)+$G198,DAY($H198)),DATE(YEAR($H198),MONTH($H198)+$G198+1,0)))</f>
        <v/>
      </c>
      <c r="J198" s="6" t="str">
        <f>IF($I198="","",$I198-TODAY())</f>
        <v/>
      </c>
      <c r="K198" s="9" t="str">
        <f>IF($F198="","",IF(NOT(ISNUMBER($G198)),"Hors champ",IF($H198="","À renseigner",IF($J198&lt;0,"Dépassée",IF($J198&lt;=30,"À planifier","À jour")))))</f>
        <v/>
      </c>
      <c r="L198" s="5"/>
      <c r="M198" s="5"/>
      <c r="N198" s="5"/>
    </row>
    <row r="199" spans="1:14" x14ac:dyDescent="0.25">
      <c r="A199" s="5"/>
      <c r="B199" s="5"/>
      <c r="C199" s="5"/>
      <c r="D199" s="5"/>
      <c r="E199" s="5"/>
      <c r="F199" s="5"/>
      <c r="G199" s="6" t="str">
        <f>IF($F199="","",IF(ISNA(VLOOKUP($F199,'Référentiel VGP'!$A$2:$B$33,2,FALSE)),"",VLOOKUP($F199,'Référentiel VGP'!$A$2:$B$33,2,FALSE)))</f>
        <v/>
      </c>
      <c r="H199" s="7"/>
      <c r="I199" s="8" t="str">
        <f>IF(OR($H199="",NOT(ISNUMBER($G199))),"",MIN(DATE(YEAR($H199),MONTH($H199)+$G199,DAY($H199)),DATE(YEAR($H199),MONTH($H199)+$G199+1,0)))</f>
        <v/>
      </c>
      <c r="J199" s="6" t="str">
        <f>IF($I199="","",$I199-TODAY())</f>
        <v/>
      </c>
      <c r="K199" s="9" t="str">
        <f>IF($F199="","",IF(NOT(ISNUMBER($G199)),"Hors champ",IF($H199="","À renseigner",IF($J199&lt;0,"Dépassée",IF($J199&lt;=30,"À planifier","À jour")))))</f>
        <v/>
      </c>
      <c r="L199" s="5"/>
      <c r="M199" s="5"/>
      <c r="N199" s="5"/>
    </row>
    <row r="200" spans="1:14" x14ac:dyDescent="0.25">
      <c r="A200" s="5"/>
      <c r="B200" s="5"/>
      <c r="C200" s="5"/>
      <c r="D200" s="5"/>
      <c r="E200" s="5"/>
      <c r="F200" s="5"/>
      <c r="G200" s="6" t="str">
        <f>IF($F200="","",IF(ISNA(VLOOKUP($F200,'Référentiel VGP'!$A$2:$B$33,2,FALSE)),"",VLOOKUP($F200,'Référentiel VGP'!$A$2:$B$33,2,FALSE)))</f>
        <v/>
      </c>
      <c r="H200" s="7"/>
      <c r="I200" s="8" t="str">
        <f>IF(OR($H200="",NOT(ISNUMBER($G200))),"",MIN(DATE(YEAR($H200),MONTH($H200)+$G200,DAY($H200)),DATE(YEAR($H200),MONTH($H200)+$G200+1,0)))</f>
        <v/>
      </c>
      <c r="J200" s="6" t="str">
        <f>IF($I200="","",$I200-TODAY())</f>
        <v/>
      </c>
      <c r="K200" s="9" t="str">
        <f>IF($F200="","",IF(NOT(ISNUMBER($G200)),"Hors champ",IF($H200="","À renseigner",IF($J200&lt;0,"Dépassée",IF($J200&lt;=30,"À planifier","À jour")))))</f>
        <v/>
      </c>
      <c r="L200" s="5"/>
      <c r="M200" s="5"/>
      <c r="N200" s="5"/>
    </row>
    <row r="201" spans="1:14" x14ac:dyDescent="0.25">
      <c r="A201" s="5"/>
      <c r="B201" s="5"/>
      <c r="C201" s="5"/>
      <c r="D201" s="5"/>
      <c r="E201" s="5"/>
      <c r="F201" s="5"/>
      <c r="G201" s="6" t="str">
        <f>IF($F201="","",IF(ISNA(VLOOKUP($F201,'Référentiel VGP'!$A$2:$B$33,2,FALSE)),"",VLOOKUP($F201,'Référentiel VGP'!$A$2:$B$33,2,FALSE)))</f>
        <v/>
      </c>
      <c r="H201" s="7"/>
      <c r="I201" s="8" t="str">
        <f>IF(OR($H201="",NOT(ISNUMBER($G201))),"",MIN(DATE(YEAR($H201),MONTH($H201)+$G201,DAY($H201)),DATE(YEAR($H201),MONTH($H201)+$G201+1,0)))</f>
        <v/>
      </c>
      <c r="J201" s="6" t="str">
        <f>IF($I201="","",$I201-TODAY())</f>
        <v/>
      </c>
      <c r="K201" s="9" t="str">
        <f>IF($F201="","",IF(NOT(ISNUMBER($G201)),"Hors champ",IF($H201="","À renseigner",IF($J201&lt;0,"Dépassée",IF($J201&lt;=30,"À planifier","À jour")))))</f>
        <v/>
      </c>
      <c r="L201" s="5"/>
      <c r="M201" s="5"/>
      <c r="N201" s="5"/>
    </row>
    <row r="202" spans="1:14" x14ac:dyDescent="0.25">
      <c r="A202" s="5"/>
      <c r="B202" s="5"/>
      <c r="C202" s="5"/>
      <c r="D202" s="5"/>
      <c r="E202" s="5"/>
      <c r="F202" s="5"/>
      <c r="G202" s="6" t="str">
        <f>IF($F202="","",IF(ISNA(VLOOKUP($F202,'Référentiel VGP'!$A$2:$B$33,2,FALSE)),"",VLOOKUP($F202,'Référentiel VGP'!$A$2:$B$33,2,FALSE)))</f>
        <v/>
      </c>
      <c r="H202" s="7"/>
      <c r="I202" s="8" t="str">
        <f>IF(OR($H202="",NOT(ISNUMBER($G202))),"",MIN(DATE(YEAR($H202),MONTH($H202)+$G202,DAY($H202)),DATE(YEAR($H202),MONTH($H202)+$G202+1,0)))</f>
        <v/>
      </c>
      <c r="J202" s="6" t="str">
        <f>IF($I202="","",$I202-TODAY())</f>
        <v/>
      </c>
      <c r="K202" s="9" t="str">
        <f>IF($F202="","",IF(NOT(ISNUMBER($G202)),"Hors champ",IF($H202="","À renseigner",IF($J202&lt;0,"Dépassée",IF($J202&lt;=30,"À planifier","À jour")))))</f>
        <v/>
      </c>
      <c r="L202" s="5"/>
      <c r="M202" s="5"/>
      <c r="N202" s="5"/>
    </row>
    <row r="203" spans="1:14" x14ac:dyDescent="0.25">
      <c r="A203" s="5"/>
      <c r="B203" s="5"/>
      <c r="C203" s="5"/>
      <c r="D203" s="5"/>
      <c r="E203" s="5"/>
      <c r="F203" s="5"/>
      <c r="G203" s="6" t="str">
        <f>IF($F203="","",IF(ISNA(VLOOKUP($F203,'Référentiel VGP'!$A$2:$B$33,2,FALSE)),"",VLOOKUP($F203,'Référentiel VGP'!$A$2:$B$33,2,FALSE)))</f>
        <v/>
      </c>
      <c r="H203" s="7"/>
      <c r="I203" s="8" t="str">
        <f>IF(OR($H203="",NOT(ISNUMBER($G203))),"",MIN(DATE(YEAR($H203),MONTH($H203)+$G203,DAY($H203)),DATE(YEAR($H203),MONTH($H203)+$G203+1,0)))</f>
        <v/>
      </c>
      <c r="J203" s="6" t="str">
        <f>IF($I203="","",$I203-TODAY())</f>
        <v/>
      </c>
      <c r="K203" s="9" t="str">
        <f>IF($F203="","",IF(NOT(ISNUMBER($G203)),"Hors champ",IF($H203="","À renseigner",IF($J203&lt;0,"Dépassée",IF($J203&lt;=30,"À planifier","À jour")))))</f>
        <v/>
      </c>
      <c r="L203" s="5"/>
      <c r="M203" s="5"/>
      <c r="N203" s="5"/>
    </row>
    <row r="204" spans="1:14" x14ac:dyDescent="0.25">
      <c r="A204" s="5"/>
      <c r="B204" s="5"/>
      <c r="C204" s="5"/>
      <c r="D204" s="5"/>
      <c r="E204" s="5"/>
      <c r="F204" s="5"/>
      <c r="G204" s="6" t="str">
        <f>IF($F204="","",IF(ISNA(VLOOKUP($F204,'Référentiel VGP'!$A$2:$B$33,2,FALSE)),"",VLOOKUP($F204,'Référentiel VGP'!$A$2:$B$33,2,FALSE)))</f>
        <v/>
      </c>
      <c r="H204" s="7"/>
      <c r="I204" s="8" t="str">
        <f>IF(OR($H204="",NOT(ISNUMBER($G204))),"",MIN(DATE(YEAR($H204),MONTH($H204)+$G204,DAY($H204)),DATE(YEAR($H204),MONTH($H204)+$G204+1,0)))</f>
        <v/>
      </c>
      <c r="J204" s="6" t="str">
        <f>IF($I204="","",$I204-TODAY())</f>
        <v/>
      </c>
      <c r="K204" s="9" t="str">
        <f>IF($F204="","",IF(NOT(ISNUMBER($G204)),"Hors champ",IF($H204="","À renseigner",IF($J204&lt;0,"Dépassée",IF($J204&lt;=30,"À planifier","À jour")))))</f>
        <v/>
      </c>
      <c r="L204" s="5"/>
      <c r="M204" s="5"/>
      <c r="N204" s="5"/>
    </row>
    <row r="205" spans="1:14" x14ac:dyDescent="0.25">
      <c r="A205" s="5"/>
      <c r="B205" s="5"/>
      <c r="C205" s="5"/>
      <c r="D205" s="5"/>
      <c r="E205" s="5"/>
      <c r="F205" s="5"/>
      <c r="G205" s="6" t="str">
        <f>IF($F205="","",IF(ISNA(VLOOKUP($F205,'Référentiel VGP'!$A$2:$B$33,2,FALSE)),"",VLOOKUP($F205,'Référentiel VGP'!$A$2:$B$33,2,FALSE)))</f>
        <v/>
      </c>
      <c r="H205" s="7"/>
      <c r="I205" s="8" t="str">
        <f>IF(OR($H205="",NOT(ISNUMBER($G205))),"",MIN(DATE(YEAR($H205),MONTH($H205)+$G205,DAY($H205)),DATE(YEAR($H205),MONTH($H205)+$G205+1,0)))</f>
        <v/>
      </c>
      <c r="J205" s="6" t="str">
        <f>IF($I205="","",$I205-TODAY())</f>
        <v/>
      </c>
      <c r="K205" s="9" t="str">
        <f>IF($F205="","",IF(NOT(ISNUMBER($G205)),"Hors champ",IF($H205="","À renseigner",IF($J205&lt;0,"Dépassée",IF($J205&lt;=30,"À planifier","À jour")))))</f>
        <v/>
      </c>
      <c r="L205" s="5"/>
      <c r="M205" s="5"/>
      <c r="N205" s="5"/>
    </row>
    <row r="206" spans="1:14" x14ac:dyDescent="0.25">
      <c r="A206" s="5"/>
      <c r="B206" s="5"/>
      <c r="C206" s="5"/>
      <c r="D206" s="5"/>
      <c r="E206" s="5"/>
      <c r="F206" s="5"/>
      <c r="G206" s="6" t="str">
        <f>IF($F206="","",IF(ISNA(VLOOKUP($F206,'Référentiel VGP'!$A$2:$B$33,2,FALSE)),"",VLOOKUP($F206,'Référentiel VGP'!$A$2:$B$33,2,FALSE)))</f>
        <v/>
      </c>
      <c r="H206" s="7"/>
      <c r="I206" s="8" t="str">
        <f>IF(OR($H206="",NOT(ISNUMBER($G206))),"",MIN(DATE(YEAR($H206),MONTH($H206)+$G206,DAY($H206)),DATE(YEAR($H206),MONTH($H206)+$G206+1,0)))</f>
        <v/>
      </c>
      <c r="J206" s="6" t="str">
        <f>IF($I206="","",$I206-TODAY())</f>
        <v/>
      </c>
      <c r="K206" s="9" t="str">
        <f>IF($F206="","",IF(NOT(ISNUMBER($G206)),"Hors champ",IF($H206="","À renseigner",IF($J206&lt;0,"Dépassée",IF($J206&lt;=30,"À planifier","À jour")))))</f>
        <v/>
      </c>
      <c r="L206" s="5"/>
      <c r="M206" s="5"/>
      <c r="N206" s="5"/>
    </row>
    <row r="207" spans="1:14" x14ac:dyDescent="0.25">
      <c r="A207" s="5"/>
      <c r="B207" s="5"/>
      <c r="C207" s="5"/>
      <c r="D207" s="5"/>
      <c r="E207" s="5"/>
      <c r="F207" s="5"/>
      <c r="G207" s="6" t="str">
        <f>IF($F207="","",IF(ISNA(VLOOKUP($F207,'Référentiel VGP'!$A$2:$B$33,2,FALSE)),"",VLOOKUP($F207,'Référentiel VGP'!$A$2:$B$33,2,FALSE)))</f>
        <v/>
      </c>
      <c r="H207" s="7"/>
      <c r="I207" s="8" t="str">
        <f>IF(OR($H207="",NOT(ISNUMBER($G207))),"",MIN(DATE(YEAR($H207),MONTH($H207)+$G207,DAY($H207)),DATE(YEAR($H207),MONTH($H207)+$G207+1,0)))</f>
        <v/>
      </c>
      <c r="J207" s="6" t="str">
        <f>IF($I207="","",$I207-TODAY())</f>
        <v/>
      </c>
      <c r="K207" s="9" t="str">
        <f>IF($F207="","",IF(NOT(ISNUMBER($G207)),"Hors champ",IF($H207="","À renseigner",IF($J207&lt;0,"Dépassée",IF($J207&lt;=30,"À planifier","À jour")))))</f>
        <v/>
      </c>
      <c r="L207" s="5"/>
      <c r="M207" s="5"/>
      <c r="N207" s="5"/>
    </row>
    <row r="208" spans="1:14" x14ac:dyDescent="0.25">
      <c r="A208" s="5"/>
      <c r="B208" s="5"/>
      <c r="C208" s="5"/>
      <c r="D208" s="5"/>
      <c r="E208" s="5"/>
      <c r="F208" s="5"/>
      <c r="G208" s="6" t="str">
        <f>IF($F208="","",IF(ISNA(VLOOKUP($F208,'Référentiel VGP'!$A$2:$B$33,2,FALSE)),"",VLOOKUP($F208,'Référentiel VGP'!$A$2:$B$33,2,FALSE)))</f>
        <v/>
      </c>
      <c r="H208" s="7"/>
      <c r="I208" s="8" t="str">
        <f>IF(OR($H208="",NOT(ISNUMBER($G208))),"",MIN(DATE(YEAR($H208),MONTH($H208)+$G208,DAY($H208)),DATE(YEAR($H208),MONTH($H208)+$G208+1,0)))</f>
        <v/>
      </c>
      <c r="J208" s="6" t="str">
        <f>IF($I208="","",$I208-TODAY())</f>
        <v/>
      </c>
      <c r="K208" s="9" t="str">
        <f>IF($F208="","",IF(NOT(ISNUMBER($G208)),"Hors champ",IF($H208="","À renseigner",IF($J208&lt;0,"Dépassée",IF($J208&lt;=30,"À planifier","À jour")))))</f>
        <v/>
      </c>
      <c r="L208" s="5"/>
      <c r="M208" s="5"/>
      <c r="N208" s="5"/>
    </row>
    <row r="209" spans="1:14" x14ac:dyDescent="0.25">
      <c r="A209" s="5"/>
      <c r="B209" s="5"/>
      <c r="C209" s="5"/>
      <c r="D209" s="5"/>
      <c r="E209" s="5"/>
      <c r="F209" s="5"/>
      <c r="G209" s="6" t="str">
        <f>IF($F209="","",IF(ISNA(VLOOKUP($F209,'Référentiel VGP'!$A$2:$B$33,2,FALSE)),"",VLOOKUP($F209,'Référentiel VGP'!$A$2:$B$33,2,FALSE)))</f>
        <v/>
      </c>
      <c r="H209" s="7"/>
      <c r="I209" s="8" t="str">
        <f>IF(OR($H209="",NOT(ISNUMBER($G209))),"",MIN(DATE(YEAR($H209),MONTH($H209)+$G209,DAY($H209)),DATE(YEAR($H209),MONTH($H209)+$G209+1,0)))</f>
        <v/>
      </c>
      <c r="J209" s="6" t="str">
        <f>IF($I209="","",$I209-TODAY())</f>
        <v/>
      </c>
      <c r="K209" s="9" t="str">
        <f>IF($F209="","",IF(NOT(ISNUMBER($G209)),"Hors champ",IF($H209="","À renseigner",IF($J209&lt;0,"Dépassée",IF($J209&lt;=30,"À planifier","À jour")))))</f>
        <v/>
      </c>
      <c r="L209" s="5"/>
      <c r="M209" s="5"/>
      <c r="N209" s="5"/>
    </row>
    <row r="210" spans="1:14" x14ac:dyDescent="0.25">
      <c r="A210" s="5"/>
      <c r="B210" s="5"/>
      <c r="C210" s="5"/>
      <c r="D210" s="5"/>
      <c r="E210" s="5"/>
      <c r="F210" s="5"/>
      <c r="G210" s="6" t="str">
        <f>IF($F210="","",IF(ISNA(VLOOKUP($F210,'Référentiel VGP'!$A$2:$B$33,2,FALSE)),"",VLOOKUP($F210,'Référentiel VGP'!$A$2:$B$33,2,FALSE)))</f>
        <v/>
      </c>
      <c r="H210" s="7"/>
      <c r="I210" s="8" t="str">
        <f>IF(OR($H210="",NOT(ISNUMBER($G210))),"",MIN(DATE(YEAR($H210),MONTH($H210)+$G210,DAY($H210)),DATE(YEAR($H210),MONTH($H210)+$G210+1,0)))</f>
        <v/>
      </c>
      <c r="J210" s="6" t="str">
        <f>IF($I210="","",$I210-TODAY())</f>
        <v/>
      </c>
      <c r="K210" s="9" t="str">
        <f>IF($F210="","",IF(NOT(ISNUMBER($G210)),"Hors champ",IF($H210="","À renseigner",IF($J210&lt;0,"Dépassée",IF($J210&lt;=30,"À planifier","À jour")))))</f>
        <v/>
      </c>
      <c r="L210" s="5"/>
      <c r="M210" s="5"/>
      <c r="N210" s="5"/>
    </row>
    <row r="211" spans="1:14" x14ac:dyDescent="0.25">
      <c r="A211" s="5"/>
      <c r="B211" s="5"/>
      <c r="C211" s="5"/>
      <c r="D211" s="5"/>
      <c r="E211" s="5"/>
      <c r="F211" s="5"/>
      <c r="G211" s="6" t="str">
        <f>IF($F211="","",IF(ISNA(VLOOKUP($F211,'Référentiel VGP'!$A$2:$B$33,2,FALSE)),"",VLOOKUP($F211,'Référentiel VGP'!$A$2:$B$33,2,FALSE)))</f>
        <v/>
      </c>
      <c r="H211" s="7"/>
      <c r="I211" s="8" t="str">
        <f>IF(OR($H211="",NOT(ISNUMBER($G211))),"",MIN(DATE(YEAR($H211),MONTH($H211)+$G211,DAY($H211)),DATE(YEAR($H211),MONTH($H211)+$G211+1,0)))</f>
        <v/>
      </c>
      <c r="J211" s="6" t="str">
        <f>IF($I211="","",$I211-TODAY())</f>
        <v/>
      </c>
      <c r="K211" s="9" t="str">
        <f>IF($F211="","",IF(NOT(ISNUMBER($G211)),"Hors champ",IF($H211="","À renseigner",IF($J211&lt;0,"Dépassée",IF($J211&lt;=30,"À planifier","À jour")))))</f>
        <v/>
      </c>
      <c r="L211" s="5"/>
      <c r="M211" s="5"/>
      <c r="N211" s="5"/>
    </row>
    <row r="212" spans="1:14" x14ac:dyDescent="0.25">
      <c r="A212" s="5"/>
      <c r="B212" s="5"/>
      <c r="C212" s="5"/>
      <c r="D212" s="5"/>
      <c r="E212" s="5"/>
      <c r="F212" s="5"/>
      <c r="G212" s="6" t="str">
        <f>IF($F212="","",IF(ISNA(VLOOKUP($F212,'Référentiel VGP'!$A$2:$B$33,2,FALSE)),"",VLOOKUP($F212,'Référentiel VGP'!$A$2:$B$33,2,FALSE)))</f>
        <v/>
      </c>
      <c r="H212" s="7"/>
      <c r="I212" s="8" t="str">
        <f>IF(OR($H212="",NOT(ISNUMBER($G212))),"",MIN(DATE(YEAR($H212),MONTH($H212)+$G212,DAY($H212)),DATE(YEAR($H212),MONTH($H212)+$G212+1,0)))</f>
        <v/>
      </c>
      <c r="J212" s="6" t="str">
        <f>IF($I212="","",$I212-TODAY())</f>
        <v/>
      </c>
      <c r="K212" s="9" t="str">
        <f>IF($F212="","",IF(NOT(ISNUMBER($G212)),"Hors champ",IF($H212="","À renseigner",IF($J212&lt;0,"Dépassée",IF($J212&lt;=30,"À planifier","À jour")))))</f>
        <v/>
      </c>
      <c r="L212" s="5"/>
      <c r="M212" s="5"/>
      <c r="N212" s="5"/>
    </row>
    <row r="213" spans="1:14" x14ac:dyDescent="0.25">
      <c r="A213" s="5"/>
      <c r="B213" s="5"/>
      <c r="C213" s="5"/>
      <c r="D213" s="5"/>
      <c r="E213" s="5"/>
      <c r="F213" s="5"/>
      <c r="G213" s="6" t="str">
        <f>IF($F213="","",IF(ISNA(VLOOKUP($F213,'Référentiel VGP'!$A$2:$B$33,2,FALSE)),"",VLOOKUP($F213,'Référentiel VGP'!$A$2:$B$33,2,FALSE)))</f>
        <v/>
      </c>
      <c r="H213" s="7"/>
      <c r="I213" s="8" t="str">
        <f>IF(OR($H213="",NOT(ISNUMBER($G213))),"",MIN(DATE(YEAR($H213),MONTH($H213)+$G213,DAY($H213)),DATE(YEAR($H213),MONTH($H213)+$G213+1,0)))</f>
        <v/>
      </c>
      <c r="J213" s="6" t="str">
        <f>IF($I213="","",$I213-TODAY())</f>
        <v/>
      </c>
      <c r="K213" s="9" t="str">
        <f>IF($F213="","",IF(NOT(ISNUMBER($G213)),"Hors champ",IF($H213="","À renseigner",IF($J213&lt;0,"Dépassée",IF($J213&lt;=30,"À planifier","À jour")))))</f>
        <v/>
      </c>
      <c r="L213" s="5"/>
      <c r="M213" s="5"/>
      <c r="N213" s="5"/>
    </row>
    <row r="214" spans="1:14" x14ac:dyDescent="0.25">
      <c r="A214" s="5"/>
      <c r="B214" s="5"/>
      <c r="C214" s="5"/>
      <c r="D214" s="5"/>
      <c r="E214" s="5"/>
      <c r="F214" s="5"/>
      <c r="G214" s="6" t="str">
        <f>IF($F214="","",IF(ISNA(VLOOKUP($F214,'Référentiel VGP'!$A$2:$B$33,2,FALSE)),"",VLOOKUP($F214,'Référentiel VGP'!$A$2:$B$33,2,FALSE)))</f>
        <v/>
      </c>
      <c r="H214" s="7"/>
      <c r="I214" s="8" t="str">
        <f>IF(OR($H214="",NOT(ISNUMBER($G214))),"",MIN(DATE(YEAR($H214),MONTH($H214)+$G214,DAY($H214)),DATE(YEAR($H214),MONTH($H214)+$G214+1,0)))</f>
        <v/>
      </c>
      <c r="J214" s="6" t="str">
        <f>IF($I214="","",$I214-TODAY())</f>
        <v/>
      </c>
      <c r="K214" s="9" t="str">
        <f>IF($F214="","",IF(NOT(ISNUMBER($G214)),"Hors champ",IF($H214="","À renseigner",IF($J214&lt;0,"Dépassée",IF($J214&lt;=30,"À planifier","À jour")))))</f>
        <v/>
      </c>
      <c r="L214" s="5"/>
      <c r="M214" s="5"/>
      <c r="N214" s="5"/>
    </row>
    <row r="215" spans="1:14" x14ac:dyDescent="0.25">
      <c r="A215" s="5"/>
      <c r="B215" s="5"/>
      <c r="C215" s="5"/>
      <c r="D215" s="5"/>
      <c r="E215" s="5"/>
      <c r="F215" s="5"/>
      <c r="G215" s="6" t="str">
        <f>IF($F215="","",IF(ISNA(VLOOKUP($F215,'Référentiel VGP'!$A$2:$B$33,2,FALSE)),"",VLOOKUP($F215,'Référentiel VGP'!$A$2:$B$33,2,FALSE)))</f>
        <v/>
      </c>
      <c r="H215" s="7"/>
      <c r="I215" s="8" t="str">
        <f>IF(OR($H215="",NOT(ISNUMBER($G215))),"",MIN(DATE(YEAR($H215),MONTH($H215)+$G215,DAY($H215)),DATE(YEAR($H215),MONTH($H215)+$G215+1,0)))</f>
        <v/>
      </c>
      <c r="J215" s="6" t="str">
        <f>IF($I215="","",$I215-TODAY())</f>
        <v/>
      </c>
      <c r="K215" s="9" t="str">
        <f>IF($F215="","",IF(NOT(ISNUMBER($G215)),"Hors champ",IF($H215="","À renseigner",IF($J215&lt;0,"Dépassée",IF($J215&lt;=30,"À planifier","À jour")))))</f>
        <v/>
      </c>
      <c r="L215" s="5"/>
      <c r="M215" s="5"/>
      <c r="N215" s="5"/>
    </row>
    <row r="216" spans="1:14" x14ac:dyDescent="0.25">
      <c r="A216" s="5"/>
      <c r="B216" s="5"/>
      <c r="C216" s="5"/>
      <c r="D216" s="5"/>
      <c r="E216" s="5"/>
      <c r="F216" s="5"/>
      <c r="G216" s="6" t="str">
        <f>IF($F216="","",IF(ISNA(VLOOKUP($F216,'Référentiel VGP'!$A$2:$B$33,2,FALSE)),"",VLOOKUP($F216,'Référentiel VGP'!$A$2:$B$33,2,FALSE)))</f>
        <v/>
      </c>
      <c r="H216" s="7"/>
      <c r="I216" s="8" t="str">
        <f>IF(OR($H216="",NOT(ISNUMBER($G216))),"",MIN(DATE(YEAR($H216),MONTH($H216)+$G216,DAY($H216)),DATE(YEAR($H216),MONTH($H216)+$G216+1,0)))</f>
        <v/>
      </c>
      <c r="J216" s="6" t="str">
        <f>IF($I216="","",$I216-TODAY())</f>
        <v/>
      </c>
      <c r="K216" s="9" t="str">
        <f>IF($F216="","",IF(NOT(ISNUMBER($G216)),"Hors champ",IF($H216="","À renseigner",IF($J216&lt;0,"Dépassée",IF($J216&lt;=30,"À planifier","À jour")))))</f>
        <v/>
      </c>
      <c r="L216" s="5"/>
      <c r="M216" s="5"/>
      <c r="N216" s="5"/>
    </row>
    <row r="217" spans="1:14" x14ac:dyDescent="0.25">
      <c r="A217" s="5"/>
      <c r="B217" s="5"/>
      <c r="C217" s="5"/>
      <c r="D217" s="5"/>
      <c r="E217" s="5"/>
      <c r="F217" s="5"/>
      <c r="G217" s="6" t="str">
        <f>IF($F217="","",IF(ISNA(VLOOKUP($F217,'Référentiel VGP'!$A$2:$B$33,2,FALSE)),"",VLOOKUP($F217,'Référentiel VGP'!$A$2:$B$33,2,FALSE)))</f>
        <v/>
      </c>
      <c r="H217" s="7"/>
      <c r="I217" s="8" t="str">
        <f>IF(OR($H217="",NOT(ISNUMBER($G217))),"",MIN(DATE(YEAR($H217),MONTH($H217)+$G217,DAY($H217)),DATE(YEAR($H217),MONTH($H217)+$G217+1,0)))</f>
        <v/>
      </c>
      <c r="J217" s="6" t="str">
        <f>IF($I217="","",$I217-TODAY())</f>
        <v/>
      </c>
      <c r="K217" s="9" t="str">
        <f>IF($F217="","",IF(NOT(ISNUMBER($G217)),"Hors champ",IF($H217="","À renseigner",IF($J217&lt;0,"Dépassée",IF($J217&lt;=30,"À planifier","À jour")))))</f>
        <v/>
      </c>
      <c r="L217" s="5"/>
      <c r="M217" s="5"/>
      <c r="N217" s="5"/>
    </row>
    <row r="218" spans="1:14" x14ac:dyDescent="0.25">
      <c r="A218" s="5"/>
      <c r="B218" s="5"/>
      <c r="C218" s="5"/>
      <c r="D218" s="5"/>
      <c r="E218" s="5"/>
      <c r="F218" s="5"/>
      <c r="G218" s="6" t="str">
        <f>IF($F218="","",IF(ISNA(VLOOKUP($F218,'Référentiel VGP'!$A$2:$B$33,2,FALSE)),"",VLOOKUP($F218,'Référentiel VGP'!$A$2:$B$33,2,FALSE)))</f>
        <v/>
      </c>
      <c r="H218" s="7"/>
      <c r="I218" s="8" t="str">
        <f>IF(OR($H218="",NOT(ISNUMBER($G218))),"",MIN(DATE(YEAR($H218),MONTH($H218)+$G218,DAY($H218)),DATE(YEAR($H218),MONTH($H218)+$G218+1,0)))</f>
        <v/>
      </c>
      <c r="J218" s="6" t="str">
        <f>IF($I218="","",$I218-TODAY())</f>
        <v/>
      </c>
      <c r="K218" s="9" t="str">
        <f>IF($F218="","",IF(NOT(ISNUMBER($G218)),"Hors champ",IF($H218="","À renseigner",IF($J218&lt;0,"Dépassée",IF($J218&lt;=30,"À planifier","À jour")))))</f>
        <v/>
      </c>
      <c r="L218" s="5"/>
      <c r="M218" s="5"/>
      <c r="N218" s="5"/>
    </row>
    <row r="219" spans="1:14" x14ac:dyDescent="0.25">
      <c r="A219" s="5"/>
      <c r="B219" s="5"/>
      <c r="C219" s="5"/>
      <c r="D219" s="5"/>
      <c r="E219" s="5"/>
      <c r="F219" s="5"/>
      <c r="G219" s="6" t="str">
        <f>IF($F219="","",IF(ISNA(VLOOKUP($F219,'Référentiel VGP'!$A$2:$B$33,2,FALSE)),"",VLOOKUP($F219,'Référentiel VGP'!$A$2:$B$33,2,FALSE)))</f>
        <v/>
      </c>
      <c r="H219" s="7"/>
      <c r="I219" s="8" t="str">
        <f>IF(OR($H219="",NOT(ISNUMBER($G219))),"",MIN(DATE(YEAR($H219),MONTH($H219)+$G219,DAY($H219)),DATE(YEAR($H219),MONTH($H219)+$G219+1,0)))</f>
        <v/>
      </c>
      <c r="J219" s="6" t="str">
        <f>IF($I219="","",$I219-TODAY())</f>
        <v/>
      </c>
      <c r="K219" s="9" t="str">
        <f>IF($F219="","",IF(NOT(ISNUMBER($G219)),"Hors champ",IF($H219="","À renseigner",IF($J219&lt;0,"Dépassée",IF($J219&lt;=30,"À planifier","À jour")))))</f>
        <v/>
      </c>
      <c r="L219" s="5"/>
      <c r="M219" s="5"/>
      <c r="N219" s="5"/>
    </row>
    <row r="220" spans="1:14" x14ac:dyDescent="0.25">
      <c r="A220" s="5"/>
      <c r="B220" s="5"/>
      <c r="C220" s="5"/>
      <c r="D220" s="5"/>
      <c r="E220" s="5"/>
      <c r="F220" s="5"/>
      <c r="G220" s="6" t="str">
        <f>IF($F220="","",IF(ISNA(VLOOKUP($F220,'Référentiel VGP'!$A$2:$B$33,2,FALSE)),"",VLOOKUP($F220,'Référentiel VGP'!$A$2:$B$33,2,FALSE)))</f>
        <v/>
      </c>
      <c r="H220" s="7"/>
      <c r="I220" s="8" t="str">
        <f>IF(OR($H220="",NOT(ISNUMBER($G220))),"",MIN(DATE(YEAR($H220),MONTH($H220)+$G220,DAY($H220)),DATE(YEAR($H220),MONTH($H220)+$G220+1,0)))</f>
        <v/>
      </c>
      <c r="J220" s="6" t="str">
        <f>IF($I220="","",$I220-TODAY())</f>
        <v/>
      </c>
      <c r="K220" s="9" t="str">
        <f>IF($F220="","",IF(NOT(ISNUMBER($G220)),"Hors champ",IF($H220="","À renseigner",IF($J220&lt;0,"Dépassée",IF($J220&lt;=30,"À planifier","À jour")))))</f>
        <v/>
      </c>
      <c r="L220" s="5"/>
      <c r="M220" s="5"/>
      <c r="N220" s="5"/>
    </row>
    <row r="221" spans="1:14" x14ac:dyDescent="0.25">
      <c r="A221" s="5"/>
      <c r="B221" s="5"/>
      <c r="C221" s="5"/>
      <c r="D221" s="5"/>
      <c r="E221" s="5"/>
      <c r="F221" s="5"/>
      <c r="G221" s="6" t="str">
        <f>IF($F221="","",IF(ISNA(VLOOKUP($F221,'Référentiel VGP'!$A$2:$B$33,2,FALSE)),"",VLOOKUP($F221,'Référentiel VGP'!$A$2:$B$33,2,FALSE)))</f>
        <v/>
      </c>
      <c r="H221" s="7"/>
      <c r="I221" s="8" t="str">
        <f>IF(OR($H221="",NOT(ISNUMBER($G221))),"",MIN(DATE(YEAR($H221),MONTH($H221)+$G221,DAY($H221)),DATE(YEAR($H221),MONTH($H221)+$G221+1,0)))</f>
        <v/>
      </c>
      <c r="J221" s="6" t="str">
        <f>IF($I221="","",$I221-TODAY())</f>
        <v/>
      </c>
      <c r="K221" s="9" t="str">
        <f>IF($F221="","",IF(NOT(ISNUMBER($G221)),"Hors champ",IF($H221="","À renseigner",IF($J221&lt;0,"Dépassée",IF($J221&lt;=30,"À planifier","À jour")))))</f>
        <v/>
      </c>
      <c r="L221" s="5"/>
      <c r="M221" s="5"/>
      <c r="N221" s="5"/>
    </row>
    <row r="222" spans="1:14" x14ac:dyDescent="0.25">
      <c r="A222" s="5"/>
      <c r="B222" s="5"/>
      <c r="C222" s="5"/>
      <c r="D222" s="5"/>
      <c r="E222" s="5"/>
      <c r="F222" s="5"/>
      <c r="G222" s="6" t="str">
        <f>IF($F222="","",IF(ISNA(VLOOKUP($F222,'Référentiel VGP'!$A$2:$B$33,2,FALSE)),"",VLOOKUP($F222,'Référentiel VGP'!$A$2:$B$33,2,FALSE)))</f>
        <v/>
      </c>
      <c r="H222" s="7"/>
      <c r="I222" s="8" t="str">
        <f>IF(OR($H222="",NOT(ISNUMBER($G222))),"",MIN(DATE(YEAR($H222),MONTH($H222)+$G222,DAY($H222)),DATE(YEAR($H222),MONTH($H222)+$G222+1,0)))</f>
        <v/>
      </c>
      <c r="J222" s="6" t="str">
        <f>IF($I222="","",$I222-TODAY())</f>
        <v/>
      </c>
      <c r="K222" s="9" t="str">
        <f>IF($F222="","",IF(NOT(ISNUMBER($G222)),"Hors champ",IF($H222="","À renseigner",IF($J222&lt;0,"Dépassée",IF($J222&lt;=30,"À planifier","À jour")))))</f>
        <v/>
      </c>
      <c r="L222" s="5"/>
      <c r="M222" s="5"/>
      <c r="N222" s="5"/>
    </row>
    <row r="223" spans="1:14" x14ac:dyDescent="0.25">
      <c r="A223" s="5"/>
      <c r="B223" s="5"/>
      <c r="C223" s="5"/>
      <c r="D223" s="5"/>
      <c r="E223" s="5"/>
      <c r="F223" s="5"/>
      <c r="G223" s="6" t="str">
        <f>IF($F223="","",IF(ISNA(VLOOKUP($F223,'Référentiel VGP'!$A$2:$B$33,2,FALSE)),"",VLOOKUP($F223,'Référentiel VGP'!$A$2:$B$33,2,FALSE)))</f>
        <v/>
      </c>
      <c r="H223" s="7"/>
      <c r="I223" s="8" t="str">
        <f>IF(OR($H223="",NOT(ISNUMBER($G223))),"",MIN(DATE(YEAR($H223),MONTH($H223)+$G223,DAY($H223)),DATE(YEAR($H223),MONTH($H223)+$G223+1,0)))</f>
        <v/>
      </c>
      <c r="J223" s="6" t="str">
        <f>IF($I223="","",$I223-TODAY())</f>
        <v/>
      </c>
      <c r="K223" s="9" t="str">
        <f>IF($F223="","",IF(NOT(ISNUMBER($G223)),"Hors champ",IF($H223="","À renseigner",IF($J223&lt;0,"Dépassée",IF($J223&lt;=30,"À planifier","À jour")))))</f>
        <v/>
      </c>
      <c r="L223" s="5"/>
      <c r="M223" s="5"/>
      <c r="N223" s="5"/>
    </row>
    <row r="224" spans="1:14" x14ac:dyDescent="0.25">
      <c r="A224" s="5"/>
      <c r="B224" s="5"/>
      <c r="C224" s="5"/>
      <c r="D224" s="5"/>
      <c r="E224" s="5"/>
      <c r="F224" s="5"/>
      <c r="G224" s="6" t="str">
        <f>IF($F224="","",IF(ISNA(VLOOKUP($F224,'Référentiel VGP'!$A$2:$B$33,2,FALSE)),"",VLOOKUP($F224,'Référentiel VGP'!$A$2:$B$33,2,FALSE)))</f>
        <v/>
      </c>
      <c r="H224" s="7"/>
      <c r="I224" s="8" t="str">
        <f>IF(OR($H224="",NOT(ISNUMBER($G224))),"",MIN(DATE(YEAR($H224),MONTH($H224)+$G224,DAY($H224)),DATE(YEAR($H224),MONTH($H224)+$G224+1,0)))</f>
        <v/>
      </c>
      <c r="J224" s="6" t="str">
        <f>IF($I224="","",$I224-TODAY())</f>
        <v/>
      </c>
      <c r="K224" s="9" t="str">
        <f>IF($F224="","",IF(NOT(ISNUMBER($G224)),"Hors champ",IF($H224="","À renseigner",IF($J224&lt;0,"Dépassée",IF($J224&lt;=30,"À planifier","À jour")))))</f>
        <v/>
      </c>
      <c r="L224" s="5"/>
      <c r="M224" s="5"/>
      <c r="N224" s="5"/>
    </row>
    <row r="225" spans="1:14" x14ac:dyDescent="0.25">
      <c r="A225" s="5"/>
      <c r="B225" s="5"/>
      <c r="C225" s="5"/>
      <c r="D225" s="5"/>
      <c r="E225" s="5"/>
      <c r="F225" s="5"/>
      <c r="G225" s="6" t="str">
        <f>IF($F225="","",IF(ISNA(VLOOKUP($F225,'Référentiel VGP'!$A$2:$B$33,2,FALSE)),"",VLOOKUP($F225,'Référentiel VGP'!$A$2:$B$33,2,FALSE)))</f>
        <v/>
      </c>
      <c r="H225" s="7"/>
      <c r="I225" s="8" t="str">
        <f>IF(OR($H225="",NOT(ISNUMBER($G225))),"",MIN(DATE(YEAR($H225),MONTH($H225)+$G225,DAY($H225)),DATE(YEAR($H225),MONTH($H225)+$G225+1,0)))</f>
        <v/>
      </c>
      <c r="J225" s="6" t="str">
        <f>IF($I225="","",$I225-TODAY())</f>
        <v/>
      </c>
      <c r="K225" s="9" t="str">
        <f>IF($F225="","",IF(NOT(ISNUMBER($G225)),"Hors champ",IF($H225="","À renseigner",IF($J225&lt;0,"Dépassée",IF($J225&lt;=30,"À planifier","À jour")))))</f>
        <v/>
      </c>
      <c r="L225" s="5"/>
      <c r="M225" s="5"/>
      <c r="N225" s="5"/>
    </row>
    <row r="226" spans="1:14" x14ac:dyDescent="0.25">
      <c r="A226" s="5"/>
      <c r="B226" s="5"/>
      <c r="C226" s="5"/>
      <c r="D226" s="5"/>
      <c r="E226" s="5"/>
      <c r="F226" s="5"/>
      <c r="G226" s="6" t="str">
        <f>IF($F226="","",IF(ISNA(VLOOKUP($F226,'Référentiel VGP'!$A$2:$B$33,2,FALSE)),"",VLOOKUP($F226,'Référentiel VGP'!$A$2:$B$33,2,FALSE)))</f>
        <v/>
      </c>
      <c r="H226" s="7"/>
      <c r="I226" s="8" t="str">
        <f>IF(OR($H226="",NOT(ISNUMBER($G226))),"",MIN(DATE(YEAR($H226),MONTH($H226)+$G226,DAY($H226)),DATE(YEAR($H226),MONTH($H226)+$G226+1,0)))</f>
        <v/>
      </c>
      <c r="J226" s="6" t="str">
        <f>IF($I226="","",$I226-TODAY())</f>
        <v/>
      </c>
      <c r="K226" s="9" t="str">
        <f>IF($F226="","",IF(NOT(ISNUMBER($G226)),"Hors champ",IF($H226="","À renseigner",IF($J226&lt;0,"Dépassée",IF($J226&lt;=30,"À planifier","À jour")))))</f>
        <v/>
      </c>
      <c r="L226" s="5"/>
      <c r="M226" s="5"/>
      <c r="N226" s="5"/>
    </row>
    <row r="227" spans="1:14" x14ac:dyDescent="0.25">
      <c r="A227" s="5"/>
      <c r="B227" s="5"/>
      <c r="C227" s="5"/>
      <c r="D227" s="5"/>
      <c r="E227" s="5"/>
      <c r="F227" s="5"/>
      <c r="G227" s="6" t="str">
        <f>IF($F227="","",IF(ISNA(VLOOKUP($F227,'Référentiel VGP'!$A$2:$B$33,2,FALSE)),"",VLOOKUP($F227,'Référentiel VGP'!$A$2:$B$33,2,FALSE)))</f>
        <v/>
      </c>
      <c r="H227" s="7"/>
      <c r="I227" s="8" t="str">
        <f>IF(OR($H227="",NOT(ISNUMBER($G227))),"",MIN(DATE(YEAR($H227),MONTH($H227)+$G227,DAY($H227)),DATE(YEAR($H227),MONTH($H227)+$G227+1,0)))</f>
        <v/>
      </c>
      <c r="J227" s="6" t="str">
        <f>IF($I227="","",$I227-TODAY())</f>
        <v/>
      </c>
      <c r="K227" s="9" t="str">
        <f>IF($F227="","",IF(NOT(ISNUMBER($G227)),"Hors champ",IF($H227="","À renseigner",IF($J227&lt;0,"Dépassée",IF($J227&lt;=30,"À planifier","À jour")))))</f>
        <v/>
      </c>
      <c r="L227" s="5"/>
      <c r="M227" s="5"/>
      <c r="N227" s="5"/>
    </row>
    <row r="228" spans="1:14" x14ac:dyDescent="0.25">
      <c r="A228" s="5"/>
      <c r="B228" s="5"/>
      <c r="C228" s="5"/>
      <c r="D228" s="5"/>
      <c r="E228" s="5"/>
      <c r="F228" s="5"/>
      <c r="G228" s="6" t="str">
        <f>IF($F228="","",IF(ISNA(VLOOKUP($F228,'Référentiel VGP'!$A$2:$B$33,2,FALSE)),"",VLOOKUP($F228,'Référentiel VGP'!$A$2:$B$33,2,FALSE)))</f>
        <v/>
      </c>
      <c r="H228" s="7"/>
      <c r="I228" s="8" t="str">
        <f>IF(OR($H228="",NOT(ISNUMBER($G228))),"",MIN(DATE(YEAR($H228),MONTH($H228)+$G228,DAY($H228)),DATE(YEAR($H228),MONTH($H228)+$G228+1,0)))</f>
        <v/>
      </c>
      <c r="J228" s="6" t="str">
        <f>IF($I228="","",$I228-TODAY())</f>
        <v/>
      </c>
      <c r="K228" s="9" t="str">
        <f>IF($F228="","",IF(NOT(ISNUMBER($G228)),"Hors champ",IF($H228="","À renseigner",IF($J228&lt;0,"Dépassée",IF($J228&lt;=30,"À planifier","À jour")))))</f>
        <v/>
      </c>
      <c r="L228" s="5"/>
      <c r="M228" s="5"/>
      <c r="N228" s="5"/>
    </row>
    <row r="229" spans="1:14" x14ac:dyDescent="0.25">
      <c r="A229" s="5"/>
      <c r="B229" s="5"/>
      <c r="C229" s="5"/>
      <c r="D229" s="5"/>
      <c r="E229" s="5"/>
      <c r="F229" s="5"/>
      <c r="G229" s="6" t="str">
        <f>IF($F229="","",IF(ISNA(VLOOKUP($F229,'Référentiel VGP'!$A$2:$B$33,2,FALSE)),"",VLOOKUP($F229,'Référentiel VGP'!$A$2:$B$33,2,FALSE)))</f>
        <v/>
      </c>
      <c r="H229" s="7"/>
      <c r="I229" s="8" t="str">
        <f>IF(OR($H229="",NOT(ISNUMBER($G229))),"",MIN(DATE(YEAR($H229),MONTH($H229)+$G229,DAY($H229)),DATE(YEAR($H229),MONTH($H229)+$G229+1,0)))</f>
        <v/>
      </c>
      <c r="J229" s="6" t="str">
        <f>IF($I229="","",$I229-TODAY())</f>
        <v/>
      </c>
      <c r="K229" s="9" t="str">
        <f>IF($F229="","",IF(NOT(ISNUMBER($G229)),"Hors champ",IF($H229="","À renseigner",IF($J229&lt;0,"Dépassée",IF($J229&lt;=30,"À planifier","À jour")))))</f>
        <v/>
      </c>
      <c r="L229" s="5"/>
      <c r="M229" s="5"/>
      <c r="N229" s="5"/>
    </row>
    <row r="230" spans="1:14" x14ac:dyDescent="0.25">
      <c r="A230" s="5"/>
      <c r="B230" s="5"/>
      <c r="C230" s="5"/>
      <c r="D230" s="5"/>
      <c r="E230" s="5"/>
      <c r="F230" s="5"/>
      <c r="G230" s="6" t="str">
        <f>IF($F230="","",IF(ISNA(VLOOKUP($F230,'Référentiel VGP'!$A$2:$B$33,2,FALSE)),"",VLOOKUP($F230,'Référentiel VGP'!$A$2:$B$33,2,FALSE)))</f>
        <v/>
      </c>
      <c r="H230" s="7"/>
      <c r="I230" s="8" t="str">
        <f>IF(OR($H230="",NOT(ISNUMBER($G230))),"",MIN(DATE(YEAR($H230),MONTH($H230)+$G230,DAY($H230)),DATE(YEAR($H230),MONTH($H230)+$G230+1,0)))</f>
        <v/>
      </c>
      <c r="J230" s="6" t="str">
        <f>IF($I230="","",$I230-TODAY())</f>
        <v/>
      </c>
      <c r="K230" s="9" t="str">
        <f>IF($F230="","",IF(NOT(ISNUMBER($G230)),"Hors champ",IF($H230="","À renseigner",IF($J230&lt;0,"Dépassée",IF($J230&lt;=30,"À planifier","À jour")))))</f>
        <v/>
      </c>
      <c r="L230" s="5"/>
      <c r="M230" s="5"/>
      <c r="N230" s="5"/>
    </row>
    <row r="231" spans="1:14" x14ac:dyDescent="0.25">
      <c r="A231" s="5"/>
      <c r="B231" s="5"/>
      <c r="C231" s="5"/>
      <c r="D231" s="5"/>
      <c r="E231" s="5"/>
      <c r="F231" s="5"/>
      <c r="G231" s="6" t="str">
        <f>IF($F231="","",IF(ISNA(VLOOKUP($F231,'Référentiel VGP'!$A$2:$B$33,2,FALSE)),"",VLOOKUP($F231,'Référentiel VGP'!$A$2:$B$33,2,FALSE)))</f>
        <v/>
      </c>
      <c r="H231" s="7"/>
      <c r="I231" s="8" t="str">
        <f>IF(OR($H231="",NOT(ISNUMBER($G231))),"",MIN(DATE(YEAR($H231),MONTH($H231)+$G231,DAY($H231)),DATE(YEAR($H231),MONTH($H231)+$G231+1,0)))</f>
        <v/>
      </c>
      <c r="J231" s="6" t="str">
        <f>IF($I231="","",$I231-TODAY())</f>
        <v/>
      </c>
      <c r="K231" s="9" t="str">
        <f>IF($F231="","",IF(NOT(ISNUMBER($G231)),"Hors champ",IF($H231="","À renseigner",IF($J231&lt;0,"Dépassée",IF($J231&lt;=30,"À planifier","À jour")))))</f>
        <v/>
      </c>
      <c r="L231" s="5"/>
      <c r="M231" s="5"/>
      <c r="N231" s="5"/>
    </row>
    <row r="232" spans="1:14" x14ac:dyDescent="0.25">
      <c r="A232" s="5"/>
      <c r="B232" s="5"/>
      <c r="C232" s="5"/>
      <c r="D232" s="5"/>
      <c r="E232" s="5"/>
      <c r="F232" s="5"/>
      <c r="G232" s="6" t="str">
        <f>IF($F232="","",IF(ISNA(VLOOKUP($F232,'Référentiel VGP'!$A$2:$B$33,2,FALSE)),"",VLOOKUP($F232,'Référentiel VGP'!$A$2:$B$33,2,FALSE)))</f>
        <v/>
      </c>
      <c r="H232" s="7"/>
      <c r="I232" s="8" t="str">
        <f>IF(OR($H232="",NOT(ISNUMBER($G232))),"",MIN(DATE(YEAR($H232),MONTH($H232)+$G232,DAY($H232)),DATE(YEAR($H232),MONTH($H232)+$G232+1,0)))</f>
        <v/>
      </c>
      <c r="J232" s="6" t="str">
        <f>IF($I232="","",$I232-TODAY())</f>
        <v/>
      </c>
      <c r="K232" s="9" t="str">
        <f>IF($F232="","",IF(NOT(ISNUMBER($G232)),"Hors champ",IF($H232="","À renseigner",IF($J232&lt;0,"Dépassée",IF($J232&lt;=30,"À planifier","À jour")))))</f>
        <v/>
      </c>
      <c r="L232" s="5"/>
      <c r="M232" s="5"/>
      <c r="N232" s="5"/>
    </row>
    <row r="233" spans="1:14" x14ac:dyDescent="0.25">
      <c r="A233" s="5"/>
      <c r="B233" s="5"/>
      <c r="C233" s="5"/>
      <c r="D233" s="5"/>
      <c r="E233" s="5"/>
      <c r="F233" s="5"/>
      <c r="G233" s="6" t="str">
        <f>IF($F233="","",IF(ISNA(VLOOKUP($F233,'Référentiel VGP'!$A$2:$B$33,2,FALSE)),"",VLOOKUP($F233,'Référentiel VGP'!$A$2:$B$33,2,FALSE)))</f>
        <v/>
      </c>
      <c r="H233" s="7"/>
      <c r="I233" s="8" t="str">
        <f>IF(OR($H233="",NOT(ISNUMBER($G233))),"",MIN(DATE(YEAR($H233),MONTH($H233)+$G233,DAY($H233)),DATE(YEAR($H233),MONTH($H233)+$G233+1,0)))</f>
        <v/>
      </c>
      <c r="J233" s="6" t="str">
        <f>IF($I233="","",$I233-TODAY())</f>
        <v/>
      </c>
      <c r="K233" s="9" t="str">
        <f>IF($F233="","",IF(NOT(ISNUMBER($G233)),"Hors champ",IF($H233="","À renseigner",IF($J233&lt;0,"Dépassée",IF($J233&lt;=30,"À planifier","À jour")))))</f>
        <v/>
      </c>
      <c r="L233" s="5"/>
      <c r="M233" s="5"/>
      <c r="N233" s="5"/>
    </row>
    <row r="234" spans="1:14" x14ac:dyDescent="0.25">
      <c r="A234" s="5"/>
      <c r="B234" s="5"/>
      <c r="C234" s="5"/>
      <c r="D234" s="5"/>
      <c r="E234" s="5"/>
      <c r="F234" s="5"/>
      <c r="G234" s="6" t="str">
        <f>IF($F234="","",IF(ISNA(VLOOKUP($F234,'Référentiel VGP'!$A$2:$B$33,2,FALSE)),"",VLOOKUP($F234,'Référentiel VGP'!$A$2:$B$33,2,FALSE)))</f>
        <v/>
      </c>
      <c r="H234" s="7"/>
      <c r="I234" s="8" t="str">
        <f>IF(OR($H234="",NOT(ISNUMBER($G234))),"",MIN(DATE(YEAR($H234),MONTH($H234)+$G234,DAY($H234)),DATE(YEAR($H234),MONTH($H234)+$G234+1,0)))</f>
        <v/>
      </c>
      <c r="J234" s="6" t="str">
        <f>IF($I234="","",$I234-TODAY())</f>
        <v/>
      </c>
      <c r="K234" s="9" t="str">
        <f>IF($F234="","",IF(NOT(ISNUMBER($G234)),"Hors champ",IF($H234="","À renseigner",IF($J234&lt;0,"Dépassée",IF($J234&lt;=30,"À planifier","À jour")))))</f>
        <v/>
      </c>
      <c r="L234" s="5"/>
      <c r="M234" s="5"/>
      <c r="N234" s="5"/>
    </row>
    <row r="235" spans="1:14" x14ac:dyDescent="0.25">
      <c r="A235" s="5"/>
      <c r="B235" s="5"/>
      <c r="C235" s="5"/>
      <c r="D235" s="5"/>
      <c r="E235" s="5"/>
      <c r="F235" s="5"/>
      <c r="G235" s="6" t="str">
        <f>IF($F235="","",IF(ISNA(VLOOKUP($F235,'Référentiel VGP'!$A$2:$B$33,2,FALSE)),"",VLOOKUP($F235,'Référentiel VGP'!$A$2:$B$33,2,FALSE)))</f>
        <v/>
      </c>
      <c r="H235" s="7"/>
      <c r="I235" s="8" t="str">
        <f>IF(OR($H235="",NOT(ISNUMBER($G235))),"",MIN(DATE(YEAR($H235),MONTH($H235)+$G235,DAY($H235)),DATE(YEAR($H235),MONTH($H235)+$G235+1,0)))</f>
        <v/>
      </c>
      <c r="J235" s="6" t="str">
        <f>IF($I235="","",$I235-TODAY())</f>
        <v/>
      </c>
      <c r="K235" s="9" t="str">
        <f>IF($F235="","",IF(NOT(ISNUMBER($G235)),"Hors champ",IF($H235="","À renseigner",IF($J235&lt;0,"Dépassée",IF($J235&lt;=30,"À planifier","À jour")))))</f>
        <v/>
      </c>
      <c r="L235" s="5"/>
      <c r="M235" s="5"/>
      <c r="N235" s="5"/>
    </row>
    <row r="236" spans="1:14" x14ac:dyDescent="0.25">
      <c r="A236" s="5"/>
      <c r="B236" s="5"/>
      <c r="C236" s="5"/>
      <c r="D236" s="5"/>
      <c r="E236" s="5"/>
      <c r="F236" s="5"/>
      <c r="G236" s="6" t="str">
        <f>IF($F236="","",IF(ISNA(VLOOKUP($F236,'Référentiel VGP'!$A$2:$B$33,2,FALSE)),"",VLOOKUP($F236,'Référentiel VGP'!$A$2:$B$33,2,FALSE)))</f>
        <v/>
      </c>
      <c r="H236" s="7"/>
      <c r="I236" s="8" t="str">
        <f>IF(OR($H236="",NOT(ISNUMBER($G236))),"",MIN(DATE(YEAR($H236),MONTH($H236)+$G236,DAY($H236)),DATE(YEAR($H236),MONTH($H236)+$G236+1,0)))</f>
        <v/>
      </c>
      <c r="J236" s="6" t="str">
        <f>IF($I236="","",$I236-TODAY())</f>
        <v/>
      </c>
      <c r="K236" s="9" t="str">
        <f>IF($F236="","",IF(NOT(ISNUMBER($G236)),"Hors champ",IF($H236="","À renseigner",IF($J236&lt;0,"Dépassée",IF($J236&lt;=30,"À planifier","À jour")))))</f>
        <v/>
      </c>
      <c r="L236" s="5"/>
      <c r="M236" s="5"/>
      <c r="N236" s="5"/>
    </row>
    <row r="237" spans="1:14" x14ac:dyDescent="0.25">
      <c r="A237" s="5"/>
      <c r="B237" s="5"/>
      <c r="C237" s="5"/>
      <c r="D237" s="5"/>
      <c r="E237" s="5"/>
      <c r="F237" s="5"/>
      <c r="G237" s="6" t="str">
        <f>IF($F237="","",IF(ISNA(VLOOKUP($F237,'Référentiel VGP'!$A$2:$B$33,2,FALSE)),"",VLOOKUP($F237,'Référentiel VGP'!$A$2:$B$33,2,FALSE)))</f>
        <v/>
      </c>
      <c r="H237" s="7"/>
      <c r="I237" s="8" t="str">
        <f>IF(OR($H237="",NOT(ISNUMBER($G237))),"",MIN(DATE(YEAR($H237),MONTH($H237)+$G237,DAY($H237)),DATE(YEAR($H237),MONTH($H237)+$G237+1,0)))</f>
        <v/>
      </c>
      <c r="J237" s="6" t="str">
        <f>IF($I237="","",$I237-TODAY())</f>
        <v/>
      </c>
      <c r="K237" s="9" t="str">
        <f>IF($F237="","",IF(NOT(ISNUMBER($G237)),"Hors champ",IF($H237="","À renseigner",IF($J237&lt;0,"Dépassée",IF($J237&lt;=30,"À planifier","À jour")))))</f>
        <v/>
      </c>
      <c r="L237" s="5"/>
      <c r="M237" s="5"/>
      <c r="N237" s="5"/>
    </row>
    <row r="238" spans="1:14" x14ac:dyDescent="0.25">
      <c r="A238" s="5"/>
      <c r="B238" s="5"/>
      <c r="C238" s="5"/>
      <c r="D238" s="5"/>
      <c r="E238" s="5"/>
      <c r="F238" s="5"/>
      <c r="G238" s="6" t="str">
        <f>IF($F238="","",IF(ISNA(VLOOKUP($F238,'Référentiel VGP'!$A$2:$B$33,2,FALSE)),"",VLOOKUP($F238,'Référentiel VGP'!$A$2:$B$33,2,FALSE)))</f>
        <v/>
      </c>
      <c r="H238" s="7"/>
      <c r="I238" s="8" t="str">
        <f>IF(OR($H238="",NOT(ISNUMBER($G238))),"",MIN(DATE(YEAR($H238),MONTH($H238)+$G238,DAY($H238)),DATE(YEAR($H238),MONTH($H238)+$G238+1,0)))</f>
        <v/>
      </c>
      <c r="J238" s="6" t="str">
        <f>IF($I238="","",$I238-TODAY())</f>
        <v/>
      </c>
      <c r="K238" s="9" t="str">
        <f>IF($F238="","",IF(NOT(ISNUMBER($G238)),"Hors champ",IF($H238="","À renseigner",IF($J238&lt;0,"Dépassée",IF($J238&lt;=30,"À planifier","À jour")))))</f>
        <v/>
      </c>
      <c r="L238" s="5"/>
      <c r="M238" s="5"/>
      <c r="N238" s="5"/>
    </row>
    <row r="239" spans="1:14" x14ac:dyDescent="0.25">
      <c r="A239" s="5"/>
      <c r="B239" s="5"/>
      <c r="C239" s="5"/>
      <c r="D239" s="5"/>
      <c r="E239" s="5"/>
      <c r="F239" s="5"/>
      <c r="G239" s="6" t="str">
        <f>IF($F239="","",IF(ISNA(VLOOKUP($F239,'Référentiel VGP'!$A$2:$B$33,2,FALSE)),"",VLOOKUP($F239,'Référentiel VGP'!$A$2:$B$33,2,FALSE)))</f>
        <v/>
      </c>
      <c r="H239" s="7"/>
      <c r="I239" s="8" t="str">
        <f>IF(OR($H239="",NOT(ISNUMBER($G239))),"",MIN(DATE(YEAR($H239),MONTH($H239)+$G239,DAY($H239)),DATE(YEAR($H239),MONTH($H239)+$G239+1,0)))</f>
        <v/>
      </c>
      <c r="J239" s="6" t="str">
        <f>IF($I239="","",$I239-TODAY())</f>
        <v/>
      </c>
      <c r="K239" s="9" t="str">
        <f>IF($F239="","",IF(NOT(ISNUMBER($G239)),"Hors champ",IF($H239="","À renseigner",IF($J239&lt;0,"Dépassée",IF($J239&lt;=30,"À planifier","À jour")))))</f>
        <v/>
      </c>
      <c r="L239" s="5"/>
      <c r="M239" s="5"/>
      <c r="N239" s="5"/>
    </row>
    <row r="240" spans="1:14" x14ac:dyDescent="0.25">
      <c r="A240" s="5"/>
      <c r="B240" s="5"/>
      <c r="C240" s="5"/>
      <c r="D240" s="5"/>
      <c r="E240" s="5"/>
      <c r="F240" s="5"/>
      <c r="G240" s="6" t="str">
        <f>IF($F240="","",IF(ISNA(VLOOKUP($F240,'Référentiel VGP'!$A$2:$B$33,2,FALSE)),"",VLOOKUP($F240,'Référentiel VGP'!$A$2:$B$33,2,FALSE)))</f>
        <v/>
      </c>
      <c r="H240" s="7"/>
      <c r="I240" s="8" t="str">
        <f>IF(OR($H240="",NOT(ISNUMBER($G240))),"",MIN(DATE(YEAR($H240),MONTH($H240)+$G240,DAY($H240)),DATE(YEAR($H240),MONTH($H240)+$G240+1,0)))</f>
        <v/>
      </c>
      <c r="J240" s="6" t="str">
        <f>IF($I240="","",$I240-TODAY())</f>
        <v/>
      </c>
      <c r="K240" s="9" t="str">
        <f>IF($F240="","",IF(NOT(ISNUMBER($G240)),"Hors champ",IF($H240="","À renseigner",IF($J240&lt;0,"Dépassée",IF($J240&lt;=30,"À planifier","À jour")))))</f>
        <v/>
      </c>
      <c r="L240" s="5"/>
      <c r="M240" s="5"/>
      <c r="N240" s="5"/>
    </row>
    <row r="241" spans="1:14" x14ac:dyDescent="0.25">
      <c r="A241" s="5"/>
      <c r="B241" s="5"/>
      <c r="C241" s="5"/>
      <c r="D241" s="5"/>
      <c r="E241" s="5"/>
      <c r="F241" s="5"/>
      <c r="G241" s="6" t="str">
        <f>IF($F241="","",IF(ISNA(VLOOKUP($F241,'Référentiel VGP'!$A$2:$B$33,2,FALSE)),"",VLOOKUP($F241,'Référentiel VGP'!$A$2:$B$33,2,FALSE)))</f>
        <v/>
      </c>
      <c r="H241" s="7"/>
      <c r="I241" s="8" t="str">
        <f>IF(OR($H241="",NOT(ISNUMBER($G241))),"",MIN(DATE(YEAR($H241),MONTH($H241)+$G241,DAY($H241)),DATE(YEAR($H241),MONTH($H241)+$G241+1,0)))</f>
        <v/>
      </c>
      <c r="J241" s="6" t="str">
        <f>IF($I241="","",$I241-TODAY())</f>
        <v/>
      </c>
      <c r="K241" s="9" t="str">
        <f>IF($F241="","",IF(NOT(ISNUMBER($G241)),"Hors champ",IF($H241="","À renseigner",IF($J241&lt;0,"Dépassée",IF($J241&lt;=30,"À planifier","À jour")))))</f>
        <v/>
      </c>
      <c r="L241" s="5"/>
      <c r="M241" s="5"/>
      <c r="N241" s="5"/>
    </row>
    <row r="242" spans="1:14" x14ac:dyDescent="0.25">
      <c r="A242" s="5"/>
      <c r="B242" s="5"/>
      <c r="C242" s="5"/>
      <c r="D242" s="5"/>
      <c r="E242" s="5"/>
      <c r="F242" s="5"/>
      <c r="G242" s="6" t="str">
        <f>IF($F242="","",IF(ISNA(VLOOKUP($F242,'Référentiel VGP'!$A$2:$B$33,2,FALSE)),"",VLOOKUP($F242,'Référentiel VGP'!$A$2:$B$33,2,FALSE)))</f>
        <v/>
      </c>
      <c r="H242" s="7"/>
      <c r="I242" s="8" t="str">
        <f>IF(OR($H242="",NOT(ISNUMBER($G242))),"",MIN(DATE(YEAR($H242),MONTH($H242)+$G242,DAY($H242)),DATE(YEAR($H242),MONTH($H242)+$G242+1,0)))</f>
        <v/>
      </c>
      <c r="J242" s="6" t="str">
        <f>IF($I242="","",$I242-TODAY())</f>
        <v/>
      </c>
      <c r="K242" s="9" t="str">
        <f>IF($F242="","",IF(NOT(ISNUMBER($G242)),"Hors champ",IF($H242="","À renseigner",IF($J242&lt;0,"Dépassée",IF($J242&lt;=30,"À planifier","À jour")))))</f>
        <v/>
      </c>
      <c r="L242" s="5"/>
      <c r="M242" s="5"/>
      <c r="N242" s="5"/>
    </row>
    <row r="243" spans="1:14" x14ac:dyDescent="0.25">
      <c r="A243" s="5"/>
      <c r="B243" s="5"/>
      <c r="C243" s="5"/>
      <c r="D243" s="5"/>
      <c r="E243" s="5"/>
      <c r="F243" s="5"/>
      <c r="G243" s="6" t="str">
        <f>IF($F243="","",IF(ISNA(VLOOKUP($F243,'Référentiel VGP'!$A$2:$B$33,2,FALSE)),"",VLOOKUP($F243,'Référentiel VGP'!$A$2:$B$33,2,FALSE)))</f>
        <v/>
      </c>
      <c r="H243" s="7"/>
      <c r="I243" s="8" t="str">
        <f>IF(OR($H243="",NOT(ISNUMBER($G243))),"",MIN(DATE(YEAR($H243),MONTH($H243)+$G243,DAY($H243)),DATE(YEAR($H243),MONTH($H243)+$G243+1,0)))</f>
        <v/>
      </c>
      <c r="J243" s="6" t="str">
        <f>IF($I243="","",$I243-TODAY())</f>
        <v/>
      </c>
      <c r="K243" s="9" t="str">
        <f>IF($F243="","",IF(NOT(ISNUMBER($G243)),"Hors champ",IF($H243="","À renseigner",IF($J243&lt;0,"Dépassée",IF($J243&lt;=30,"À planifier","À jour")))))</f>
        <v/>
      </c>
      <c r="L243" s="5"/>
      <c r="M243" s="5"/>
      <c r="N243" s="5"/>
    </row>
    <row r="244" spans="1:14" x14ac:dyDescent="0.25">
      <c r="A244" s="5"/>
      <c r="B244" s="5"/>
      <c r="C244" s="5"/>
      <c r="D244" s="5"/>
      <c r="E244" s="5"/>
      <c r="F244" s="5"/>
      <c r="G244" s="6" t="str">
        <f>IF($F244="","",IF(ISNA(VLOOKUP($F244,'Référentiel VGP'!$A$2:$B$33,2,FALSE)),"",VLOOKUP($F244,'Référentiel VGP'!$A$2:$B$33,2,FALSE)))</f>
        <v/>
      </c>
      <c r="H244" s="7"/>
      <c r="I244" s="8" t="str">
        <f>IF(OR($H244="",NOT(ISNUMBER($G244))),"",MIN(DATE(YEAR($H244),MONTH($H244)+$G244,DAY($H244)),DATE(YEAR($H244),MONTH($H244)+$G244+1,0)))</f>
        <v/>
      </c>
      <c r="J244" s="6" t="str">
        <f>IF($I244="","",$I244-TODAY())</f>
        <v/>
      </c>
      <c r="K244" s="9" t="str">
        <f>IF($F244="","",IF(NOT(ISNUMBER($G244)),"Hors champ",IF($H244="","À renseigner",IF($J244&lt;0,"Dépassée",IF($J244&lt;=30,"À planifier","À jour")))))</f>
        <v/>
      </c>
      <c r="L244" s="5"/>
      <c r="M244" s="5"/>
      <c r="N244" s="5"/>
    </row>
    <row r="245" spans="1:14" x14ac:dyDescent="0.25">
      <c r="A245" s="5"/>
      <c r="B245" s="5"/>
      <c r="C245" s="5"/>
      <c r="D245" s="5"/>
      <c r="E245" s="5"/>
      <c r="F245" s="5"/>
      <c r="G245" s="6" t="str">
        <f>IF($F245="","",IF(ISNA(VLOOKUP($F245,'Référentiel VGP'!$A$2:$B$33,2,FALSE)),"",VLOOKUP($F245,'Référentiel VGP'!$A$2:$B$33,2,FALSE)))</f>
        <v/>
      </c>
      <c r="H245" s="7"/>
      <c r="I245" s="8" t="str">
        <f>IF(OR($H245="",NOT(ISNUMBER($G245))),"",MIN(DATE(YEAR($H245),MONTH($H245)+$G245,DAY($H245)),DATE(YEAR($H245),MONTH($H245)+$G245+1,0)))</f>
        <v/>
      </c>
      <c r="J245" s="6" t="str">
        <f>IF($I245="","",$I245-TODAY())</f>
        <v/>
      </c>
      <c r="K245" s="9" t="str">
        <f>IF($F245="","",IF(NOT(ISNUMBER($G245)),"Hors champ",IF($H245="","À renseigner",IF($J245&lt;0,"Dépassée",IF($J245&lt;=30,"À planifier","À jour")))))</f>
        <v/>
      </c>
      <c r="L245" s="5"/>
      <c r="M245" s="5"/>
      <c r="N245" s="5"/>
    </row>
    <row r="246" spans="1:14" x14ac:dyDescent="0.25">
      <c r="A246" s="5"/>
      <c r="B246" s="5"/>
      <c r="C246" s="5"/>
      <c r="D246" s="5"/>
      <c r="E246" s="5"/>
      <c r="F246" s="5"/>
      <c r="G246" s="6" t="str">
        <f>IF($F246="","",IF(ISNA(VLOOKUP($F246,'Référentiel VGP'!$A$2:$B$33,2,FALSE)),"",VLOOKUP($F246,'Référentiel VGP'!$A$2:$B$33,2,FALSE)))</f>
        <v/>
      </c>
      <c r="H246" s="7"/>
      <c r="I246" s="8" t="str">
        <f>IF(OR($H246="",NOT(ISNUMBER($G246))),"",MIN(DATE(YEAR($H246),MONTH($H246)+$G246,DAY($H246)),DATE(YEAR($H246),MONTH($H246)+$G246+1,0)))</f>
        <v/>
      </c>
      <c r="J246" s="6" t="str">
        <f>IF($I246="","",$I246-TODAY())</f>
        <v/>
      </c>
      <c r="K246" s="9" t="str">
        <f>IF($F246="","",IF(NOT(ISNUMBER($G246)),"Hors champ",IF($H246="","À renseigner",IF($J246&lt;0,"Dépassée",IF($J246&lt;=30,"À planifier","À jour")))))</f>
        <v/>
      </c>
      <c r="L246" s="5"/>
      <c r="M246" s="5"/>
      <c r="N246" s="5"/>
    </row>
    <row r="247" spans="1:14" x14ac:dyDescent="0.25">
      <c r="A247" s="5"/>
      <c r="B247" s="5"/>
      <c r="C247" s="5"/>
      <c r="D247" s="5"/>
      <c r="E247" s="5"/>
      <c r="F247" s="5"/>
      <c r="G247" s="6" t="str">
        <f>IF($F247="","",IF(ISNA(VLOOKUP($F247,'Référentiel VGP'!$A$2:$B$33,2,FALSE)),"",VLOOKUP($F247,'Référentiel VGP'!$A$2:$B$33,2,FALSE)))</f>
        <v/>
      </c>
      <c r="H247" s="7"/>
      <c r="I247" s="8" t="str">
        <f>IF(OR($H247="",NOT(ISNUMBER($G247))),"",MIN(DATE(YEAR($H247),MONTH($H247)+$G247,DAY($H247)),DATE(YEAR($H247),MONTH($H247)+$G247+1,0)))</f>
        <v/>
      </c>
      <c r="J247" s="6" t="str">
        <f>IF($I247="","",$I247-TODAY())</f>
        <v/>
      </c>
      <c r="K247" s="9" t="str">
        <f>IF($F247="","",IF(NOT(ISNUMBER($G247)),"Hors champ",IF($H247="","À renseigner",IF($J247&lt;0,"Dépassée",IF($J247&lt;=30,"À planifier","À jour")))))</f>
        <v/>
      </c>
      <c r="L247" s="5"/>
      <c r="M247" s="5"/>
      <c r="N247" s="5"/>
    </row>
    <row r="248" spans="1:14" x14ac:dyDescent="0.25">
      <c r="A248" s="5"/>
      <c r="B248" s="5"/>
      <c r="C248" s="5"/>
      <c r="D248" s="5"/>
      <c r="E248" s="5"/>
      <c r="F248" s="5"/>
      <c r="G248" s="6" t="str">
        <f>IF($F248="","",IF(ISNA(VLOOKUP($F248,'Référentiel VGP'!$A$2:$B$33,2,FALSE)),"",VLOOKUP($F248,'Référentiel VGP'!$A$2:$B$33,2,FALSE)))</f>
        <v/>
      </c>
      <c r="H248" s="7"/>
      <c r="I248" s="8" t="str">
        <f>IF(OR($H248="",NOT(ISNUMBER($G248))),"",MIN(DATE(YEAR($H248),MONTH($H248)+$G248,DAY($H248)),DATE(YEAR($H248),MONTH($H248)+$G248+1,0)))</f>
        <v/>
      </c>
      <c r="J248" s="6" t="str">
        <f>IF($I248="","",$I248-TODAY())</f>
        <v/>
      </c>
      <c r="K248" s="9" t="str">
        <f>IF($F248="","",IF(NOT(ISNUMBER($G248)),"Hors champ",IF($H248="","À renseigner",IF($J248&lt;0,"Dépassée",IF($J248&lt;=30,"À planifier","À jour")))))</f>
        <v/>
      </c>
      <c r="L248" s="5"/>
      <c r="M248" s="5"/>
      <c r="N248" s="5"/>
    </row>
    <row r="249" spans="1:14" x14ac:dyDescent="0.25">
      <c r="A249" s="5"/>
      <c r="B249" s="5"/>
      <c r="C249" s="5"/>
      <c r="D249" s="5"/>
      <c r="E249" s="5"/>
      <c r="F249" s="5"/>
      <c r="G249" s="6" t="str">
        <f>IF($F249="","",IF(ISNA(VLOOKUP($F249,'Référentiel VGP'!$A$2:$B$33,2,FALSE)),"",VLOOKUP($F249,'Référentiel VGP'!$A$2:$B$33,2,FALSE)))</f>
        <v/>
      </c>
      <c r="H249" s="7"/>
      <c r="I249" s="8" t="str">
        <f>IF(OR($H249="",NOT(ISNUMBER($G249))),"",MIN(DATE(YEAR($H249),MONTH($H249)+$G249,DAY($H249)),DATE(YEAR($H249),MONTH($H249)+$G249+1,0)))</f>
        <v/>
      </c>
      <c r="J249" s="6" t="str">
        <f>IF($I249="","",$I249-TODAY())</f>
        <v/>
      </c>
      <c r="K249" s="9" t="str">
        <f>IF($F249="","",IF(NOT(ISNUMBER($G249)),"Hors champ",IF($H249="","À renseigner",IF($J249&lt;0,"Dépassée",IF($J249&lt;=30,"À planifier","À jour")))))</f>
        <v/>
      </c>
      <c r="L249" s="5"/>
      <c r="M249" s="5"/>
      <c r="N249" s="5"/>
    </row>
    <row r="250" spans="1:14" x14ac:dyDescent="0.25">
      <c r="A250" s="5"/>
      <c r="B250" s="5"/>
      <c r="C250" s="5"/>
      <c r="D250" s="5"/>
      <c r="E250" s="5"/>
      <c r="F250" s="5"/>
      <c r="G250" s="6" t="str">
        <f>IF($F250="","",IF(ISNA(VLOOKUP($F250,'Référentiel VGP'!$A$2:$B$33,2,FALSE)),"",VLOOKUP($F250,'Référentiel VGP'!$A$2:$B$33,2,FALSE)))</f>
        <v/>
      </c>
      <c r="H250" s="7"/>
      <c r="I250" s="8" t="str">
        <f>IF(OR($H250="",NOT(ISNUMBER($G250))),"",MIN(DATE(YEAR($H250),MONTH($H250)+$G250,DAY($H250)),DATE(YEAR($H250),MONTH($H250)+$G250+1,0)))</f>
        <v/>
      </c>
      <c r="J250" s="6" t="str">
        <f>IF($I250="","",$I250-TODAY())</f>
        <v/>
      </c>
      <c r="K250" s="9" t="str">
        <f>IF($F250="","",IF(NOT(ISNUMBER($G250)),"Hors champ",IF($H250="","À renseigner",IF($J250&lt;0,"Dépassée",IF($J250&lt;=30,"À planifier","À jour")))))</f>
        <v/>
      </c>
      <c r="L250" s="5"/>
      <c r="M250" s="5"/>
      <c r="N250" s="5"/>
    </row>
    <row r="251" spans="1:14" x14ac:dyDescent="0.25">
      <c r="A251" s="5"/>
      <c r="B251" s="5"/>
      <c r="C251" s="5"/>
      <c r="D251" s="5"/>
      <c r="E251" s="5"/>
      <c r="F251" s="5"/>
      <c r="G251" s="6" t="str">
        <f>IF($F251="","",IF(ISNA(VLOOKUP($F251,'Référentiel VGP'!$A$2:$B$33,2,FALSE)),"",VLOOKUP($F251,'Référentiel VGP'!$A$2:$B$33,2,FALSE)))</f>
        <v/>
      </c>
      <c r="H251" s="7"/>
      <c r="I251" s="8" t="str">
        <f>IF(OR($H251="",NOT(ISNUMBER($G251))),"",MIN(DATE(YEAR($H251),MONTH($H251)+$G251,DAY($H251)),DATE(YEAR($H251),MONTH($H251)+$G251+1,0)))</f>
        <v/>
      </c>
      <c r="J251" s="6" t="str">
        <f>IF($I251="","",$I251-TODAY())</f>
        <v/>
      </c>
      <c r="K251" s="9" t="str">
        <f>IF($F251="","",IF(NOT(ISNUMBER($G251)),"Hors champ",IF($H251="","À renseigner",IF($J251&lt;0,"Dépassée",IF($J251&lt;=30,"À planifier","À jour")))))</f>
        <v/>
      </c>
      <c r="L251" s="5"/>
      <c r="M251" s="5"/>
      <c r="N251" s="5"/>
    </row>
    <row r="252" spans="1:14" x14ac:dyDescent="0.25">
      <c r="A252" s="5"/>
      <c r="B252" s="5"/>
      <c r="C252" s="5"/>
      <c r="D252" s="5"/>
      <c r="E252" s="5"/>
      <c r="F252" s="5"/>
      <c r="G252" s="6" t="str">
        <f>IF($F252="","",IF(ISNA(VLOOKUP($F252,'Référentiel VGP'!$A$2:$B$33,2,FALSE)),"",VLOOKUP($F252,'Référentiel VGP'!$A$2:$B$33,2,FALSE)))</f>
        <v/>
      </c>
      <c r="H252" s="7"/>
      <c r="I252" s="8" t="str">
        <f>IF(OR($H252="",NOT(ISNUMBER($G252))),"",MIN(DATE(YEAR($H252),MONTH($H252)+$G252,DAY($H252)),DATE(YEAR($H252),MONTH($H252)+$G252+1,0)))</f>
        <v/>
      </c>
      <c r="J252" s="6" t="str">
        <f>IF($I252="","",$I252-TODAY())</f>
        <v/>
      </c>
      <c r="K252" s="9" t="str">
        <f>IF($F252="","",IF(NOT(ISNUMBER($G252)),"Hors champ",IF($H252="","À renseigner",IF($J252&lt;0,"Dépassée",IF($J252&lt;=30,"À planifier","À jour")))))</f>
        <v/>
      </c>
      <c r="L252" s="5"/>
      <c r="M252" s="5"/>
      <c r="N252" s="5"/>
    </row>
    <row r="253" spans="1:14" x14ac:dyDescent="0.25">
      <c r="A253" s="5"/>
      <c r="B253" s="5"/>
      <c r="C253" s="5"/>
      <c r="D253" s="5"/>
      <c r="E253" s="5"/>
      <c r="F253" s="5"/>
      <c r="G253" s="6" t="str">
        <f>IF($F253="","",IF(ISNA(VLOOKUP($F253,'Référentiel VGP'!$A$2:$B$33,2,FALSE)),"",VLOOKUP($F253,'Référentiel VGP'!$A$2:$B$33,2,FALSE)))</f>
        <v/>
      </c>
      <c r="H253" s="7"/>
      <c r="I253" s="8" t="str">
        <f>IF(OR($H253="",NOT(ISNUMBER($G253))),"",MIN(DATE(YEAR($H253),MONTH($H253)+$G253,DAY($H253)),DATE(YEAR($H253),MONTH($H253)+$G253+1,0)))</f>
        <v/>
      </c>
      <c r="J253" s="6" t="str">
        <f>IF($I253="","",$I253-TODAY())</f>
        <v/>
      </c>
      <c r="K253" s="9" t="str">
        <f>IF($F253="","",IF(NOT(ISNUMBER($G253)),"Hors champ",IF($H253="","À renseigner",IF($J253&lt;0,"Dépassée",IF($J253&lt;=30,"À planifier","À jour")))))</f>
        <v/>
      </c>
      <c r="L253" s="5"/>
      <c r="M253" s="5"/>
      <c r="N253" s="5"/>
    </row>
    <row r="254" spans="1:14" x14ac:dyDescent="0.25">
      <c r="A254" s="5"/>
      <c r="B254" s="5"/>
      <c r="C254" s="5"/>
      <c r="D254" s="5"/>
      <c r="E254" s="5"/>
      <c r="F254" s="5"/>
      <c r="G254" s="6" t="str">
        <f>IF($F254="","",IF(ISNA(VLOOKUP($F254,'Référentiel VGP'!$A$2:$B$33,2,FALSE)),"",VLOOKUP($F254,'Référentiel VGP'!$A$2:$B$33,2,FALSE)))</f>
        <v/>
      </c>
      <c r="H254" s="7"/>
      <c r="I254" s="8" t="str">
        <f>IF(OR($H254="",NOT(ISNUMBER($G254))),"",MIN(DATE(YEAR($H254),MONTH($H254)+$G254,DAY($H254)),DATE(YEAR($H254),MONTH($H254)+$G254+1,0)))</f>
        <v/>
      </c>
      <c r="J254" s="6" t="str">
        <f>IF($I254="","",$I254-TODAY())</f>
        <v/>
      </c>
      <c r="K254" s="9" t="str">
        <f>IF($F254="","",IF(NOT(ISNUMBER($G254)),"Hors champ",IF($H254="","À renseigner",IF($J254&lt;0,"Dépassée",IF($J254&lt;=30,"À planifier","À jour")))))</f>
        <v/>
      </c>
      <c r="L254" s="5"/>
      <c r="M254" s="5"/>
      <c r="N254" s="5"/>
    </row>
    <row r="255" spans="1:14" x14ac:dyDescent="0.25">
      <c r="A255" s="5"/>
      <c r="B255" s="5"/>
      <c r="C255" s="5"/>
      <c r="D255" s="5"/>
      <c r="E255" s="5"/>
      <c r="F255" s="5"/>
      <c r="G255" s="6" t="str">
        <f>IF($F255="","",IF(ISNA(VLOOKUP($F255,'Référentiel VGP'!$A$2:$B$33,2,FALSE)),"",VLOOKUP($F255,'Référentiel VGP'!$A$2:$B$33,2,FALSE)))</f>
        <v/>
      </c>
      <c r="H255" s="7"/>
      <c r="I255" s="8" t="str">
        <f>IF(OR($H255="",NOT(ISNUMBER($G255))),"",MIN(DATE(YEAR($H255),MONTH($H255)+$G255,DAY($H255)),DATE(YEAR($H255),MONTH($H255)+$G255+1,0)))</f>
        <v/>
      </c>
      <c r="J255" s="6" t="str">
        <f>IF($I255="","",$I255-TODAY())</f>
        <v/>
      </c>
      <c r="K255" s="9" t="str">
        <f>IF($F255="","",IF(NOT(ISNUMBER($G255)),"Hors champ",IF($H255="","À renseigner",IF($J255&lt;0,"Dépassée",IF($J255&lt;=30,"À planifier","À jour")))))</f>
        <v/>
      </c>
      <c r="L255" s="5"/>
      <c r="M255" s="5"/>
      <c r="N255" s="5"/>
    </row>
    <row r="256" spans="1:14" x14ac:dyDescent="0.25">
      <c r="A256" s="5"/>
      <c r="B256" s="5"/>
      <c r="C256" s="5"/>
      <c r="D256" s="5"/>
      <c r="E256" s="5"/>
      <c r="F256" s="5"/>
      <c r="G256" s="6" t="str">
        <f>IF($F256="","",IF(ISNA(VLOOKUP($F256,'Référentiel VGP'!$A$2:$B$33,2,FALSE)),"",VLOOKUP($F256,'Référentiel VGP'!$A$2:$B$33,2,FALSE)))</f>
        <v/>
      </c>
      <c r="H256" s="7"/>
      <c r="I256" s="8" t="str">
        <f>IF(OR($H256="",NOT(ISNUMBER($G256))),"",MIN(DATE(YEAR($H256),MONTH($H256)+$G256,DAY($H256)),DATE(YEAR($H256),MONTH($H256)+$G256+1,0)))</f>
        <v/>
      </c>
      <c r="J256" s="6" t="str">
        <f>IF($I256="","",$I256-TODAY())</f>
        <v/>
      </c>
      <c r="K256" s="9" t="str">
        <f>IF($F256="","",IF(NOT(ISNUMBER($G256)),"Hors champ",IF($H256="","À renseigner",IF($J256&lt;0,"Dépassée",IF($J256&lt;=30,"À planifier","À jour")))))</f>
        <v/>
      </c>
      <c r="L256" s="5"/>
      <c r="M256" s="5"/>
      <c r="N256" s="5"/>
    </row>
    <row r="257" spans="1:14" x14ac:dyDescent="0.25">
      <c r="A257" s="5"/>
      <c r="B257" s="5"/>
      <c r="C257" s="5"/>
      <c r="D257" s="5"/>
      <c r="E257" s="5"/>
      <c r="F257" s="5"/>
      <c r="G257" s="6" t="str">
        <f>IF($F257="","",IF(ISNA(VLOOKUP($F257,'Référentiel VGP'!$A$2:$B$33,2,FALSE)),"",VLOOKUP($F257,'Référentiel VGP'!$A$2:$B$33,2,FALSE)))</f>
        <v/>
      </c>
      <c r="H257" s="7"/>
      <c r="I257" s="8" t="str">
        <f>IF(OR($H257="",NOT(ISNUMBER($G257))),"",MIN(DATE(YEAR($H257),MONTH($H257)+$G257,DAY($H257)),DATE(YEAR($H257),MONTH($H257)+$G257+1,0)))</f>
        <v/>
      </c>
      <c r="J257" s="6" t="str">
        <f>IF($I257="","",$I257-TODAY())</f>
        <v/>
      </c>
      <c r="K257" s="9" t="str">
        <f>IF($F257="","",IF(NOT(ISNUMBER($G257)),"Hors champ",IF($H257="","À renseigner",IF($J257&lt;0,"Dépassée",IF($J257&lt;=30,"À planifier","À jour")))))</f>
        <v/>
      </c>
      <c r="L257" s="5"/>
      <c r="M257" s="5"/>
      <c r="N257" s="5"/>
    </row>
    <row r="258" spans="1:14" x14ac:dyDescent="0.25">
      <c r="A258" s="5"/>
      <c r="B258" s="5"/>
      <c r="C258" s="5"/>
      <c r="D258" s="5"/>
      <c r="E258" s="5"/>
      <c r="F258" s="5"/>
      <c r="G258" s="6" t="str">
        <f>IF($F258="","",IF(ISNA(VLOOKUP($F258,'Référentiel VGP'!$A$2:$B$33,2,FALSE)),"",VLOOKUP($F258,'Référentiel VGP'!$A$2:$B$33,2,FALSE)))</f>
        <v/>
      </c>
      <c r="H258" s="7"/>
      <c r="I258" s="8" t="str">
        <f>IF(OR($H258="",NOT(ISNUMBER($G258))),"",MIN(DATE(YEAR($H258),MONTH($H258)+$G258,DAY($H258)),DATE(YEAR($H258),MONTH($H258)+$G258+1,0)))</f>
        <v/>
      </c>
      <c r="J258" s="6" t="str">
        <f>IF($I258="","",$I258-TODAY())</f>
        <v/>
      </c>
      <c r="K258" s="9" t="str">
        <f>IF($F258="","",IF(NOT(ISNUMBER($G258)),"Hors champ",IF($H258="","À renseigner",IF($J258&lt;0,"Dépassée",IF($J258&lt;=30,"À planifier","À jour")))))</f>
        <v/>
      </c>
      <c r="L258" s="5"/>
      <c r="M258" s="5"/>
      <c r="N258" s="5"/>
    </row>
    <row r="259" spans="1:14" x14ac:dyDescent="0.25">
      <c r="A259" s="5"/>
      <c r="B259" s="5"/>
      <c r="C259" s="5"/>
      <c r="D259" s="5"/>
      <c r="E259" s="5"/>
      <c r="F259" s="5"/>
      <c r="G259" s="6" t="str">
        <f>IF($F259="","",IF(ISNA(VLOOKUP($F259,'Référentiel VGP'!$A$2:$B$33,2,FALSE)),"",VLOOKUP($F259,'Référentiel VGP'!$A$2:$B$33,2,FALSE)))</f>
        <v/>
      </c>
      <c r="H259" s="7"/>
      <c r="I259" s="8" t="str">
        <f>IF(OR($H259="",NOT(ISNUMBER($G259))),"",MIN(DATE(YEAR($H259),MONTH($H259)+$G259,DAY($H259)),DATE(YEAR($H259),MONTH($H259)+$G259+1,0)))</f>
        <v/>
      </c>
      <c r="J259" s="6" t="str">
        <f>IF($I259="","",$I259-TODAY())</f>
        <v/>
      </c>
      <c r="K259" s="9" t="str">
        <f>IF($F259="","",IF(NOT(ISNUMBER($G259)),"Hors champ",IF($H259="","À renseigner",IF($J259&lt;0,"Dépassée",IF($J259&lt;=30,"À planifier","À jour")))))</f>
        <v/>
      </c>
      <c r="L259" s="5"/>
      <c r="M259" s="5"/>
      <c r="N259" s="5"/>
    </row>
    <row r="260" spans="1:14" x14ac:dyDescent="0.25">
      <c r="A260" s="5"/>
      <c r="B260" s="5"/>
      <c r="C260" s="5"/>
      <c r="D260" s="5"/>
      <c r="E260" s="5"/>
      <c r="F260" s="5"/>
      <c r="G260" s="6" t="str">
        <f>IF($F260="","",IF(ISNA(VLOOKUP($F260,'Référentiel VGP'!$A$2:$B$33,2,FALSE)),"",VLOOKUP($F260,'Référentiel VGP'!$A$2:$B$33,2,FALSE)))</f>
        <v/>
      </c>
      <c r="H260" s="7"/>
      <c r="I260" s="8" t="str">
        <f>IF(OR($H260="",NOT(ISNUMBER($G260))),"",MIN(DATE(YEAR($H260),MONTH($H260)+$G260,DAY($H260)),DATE(YEAR($H260),MONTH($H260)+$G260+1,0)))</f>
        <v/>
      </c>
      <c r="J260" s="6" t="str">
        <f>IF($I260="","",$I260-TODAY())</f>
        <v/>
      </c>
      <c r="K260" s="9" t="str">
        <f>IF($F260="","",IF(NOT(ISNUMBER($G260)),"Hors champ",IF($H260="","À renseigner",IF($J260&lt;0,"Dépassée",IF($J260&lt;=30,"À planifier","À jour")))))</f>
        <v/>
      </c>
      <c r="L260" s="5"/>
      <c r="M260" s="5"/>
      <c r="N260" s="5"/>
    </row>
    <row r="261" spans="1:14" x14ac:dyDescent="0.25">
      <c r="A261" s="5"/>
      <c r="B261" s="5"/>
      <c r="C261" s="5"/>
      <c r="D261" s="5"/>
      <c r="E261" s="5"/>
      <c r="F261" s="5"/>
      <c r="G261" s="6" t="str">
        <f>IF($F261="","",IF(ISNA(VLOOKUP($F261,'Référentiel VGP'!$A$2:$B$33,2,FALSE)),"",VLOOKUP($F261,'Référentiel VGP'!$A$2:$B$33,2,FALSE)))</f>
        <v/>
      </c>
      <c r="H261" s="7"/>
      <c r="I261" s="8" t="str">
        <f>IF(OR($H261="",NOT(ISNUMBER($G261))),"",MIN(DATE(YEAR($H261),MONTH($H261)+$G261,DAY($H261)),DATE(YEAR($H261),MONTH($H261)+$G261+1,0)))</f>
        <v/>
      </c>
      <c r="J261" s="6" t="str">
        <f>IF($I261="","",$I261-TODAY())</f>
        <v/>
      </c>
      <c r="K261" s="9" t="str">
        <f>IF($F261="","",IF(NOT(ISNUMBER($G261)),"Hors champ",IF($H261="","À renseigner",IF($J261&lt;0,"Dépassée",IF($J261&lt;=30,"À planifier","À jour")))))</f>
        <v/>
      </c>
      <c r="L261" s="5"/>
      <c r="M261" s="5"/>
      <c r="N261" s="5"/>
    </row>
    <row r="262" spans="1:14" x14ac:dyDescent="0.25">
      <c r="A262" s="5"/>
      <c r="B262" s="5"/>
      <c r="C262" s="5"/>
      <c r="D262" s="5"/>
      <c r="E262" s="5"/>
      <c r="F262" s="5"/>
      <c r="G262" s="6" t="str">
        <f>IF($F262="","",IF(ISNA(VLOOKUP($F262,'Référentiel VGP'!$A$2:$B$33,2,FALSE)),"",VLOOKUP($F262,'Référentiel VGP'!$A$2:$B$33,2,FALSE)))</f>
        <v/>
      </c>
      <c r="H262" s="7"/>
      <c r="I262" s="8" t="str">
        <f>IF(OR($H262="",NOT(ISNUMBER($G262))),"",MIN(DATE(YEAR($H262),MONTH($H262)+$G262,DAY($H262)),DATE(YEAR($H262),MONTH($H262)+$G262+1,0)))</f>
        <v/>
      </c>
      <c r="J262" s="6" t="str">
        <f>IF($I262="","",$I262-TODAY())</f>
        <v/>
      </c>
      <c r="K262" s="9" t="str">
        <f>IF($F262="","",IF(NOT(ISNUMBER($G262)),"Hors champ",IF($H262="","À renseigner",IF($J262&lt;0,"Dépassée",IF($J262&lt;=30,"À planifier","À jour")))))</f>
        <v/>
      </c>
      <c r="L262" s="5"/>
      <c r="M262" s="5"/>
      <c r="N262" s="5"/>
    </row>
    <row r="263" spans="1:14" x14ac:dyDescent="0.25">
      <c r="A263" s="5"/>
      <c r="B263" s="5"/>
      <c r="C263" s="5"/>
      <c r="D263" s="5"/>
      <c r="E263" s="5"/>
      <c r="F263" s="5"/>
      <c r="G263" s="6" t="str">
        <f>IF($F263="","",IF(ISNA(VLOOKUP($F263,'Référentiel VGP'!$A$2:$B$33,2,FALSE)),"",VLOOKUP($F263,'Référentiel VGP'!$A$2:$B$33,2,FALSE)))</f>
        <v/>
      </c>
      <c r="H263" s="7"/>
      <c r="I263" s="8" t="str">
        <f>IF(OR($H263="",NOT(ISNUMBER($G263))),"",MIN(DATE(YEAR($H263),MONTH($H263)+$G263,DAY($H263)),DATE(YEAR($H263),MONTH($H263)+$G263+1,0)))</f>
        <v/>
      </c>
      <c r="J263" s="6" t="str">
        <f>IF($I263="","",$I263-TODAY())</f>
        <v/>
      </c>
      <c r="K263" s="9" t="str">
        <f>IF($F263="","",IF(NOT(ISNUMBER($G263)),"Hors champ",IF($H263="","À renseigner",IF($J263&lt;0,"Dépassée",IF($J263&lt;=30,"À planifier","À jour")))))</f>
        <v/>
      </c>
      <c r="L263" s="5"/>
      <c r="M263" s="5"/>
      <c r="N263" s="5"/>
    </row>
    <row r="264" spans="1:14" x14ac:dyDescent="0.25">
      <c r="A264" s="5"/>
      <c r="B264" s="5"/>
      <c r="C264" s="5"/>
      <c r="D264" s="5"/>
      <c r="E264" s="5"/>
      <c r="F264" s="5"/>
      <c r="G264" s="6" t="str">
        <f>IF($F264="","",IF(ISNA(VLOOKUP($F264,'Référentiel VGP'!$A$2:$B$33,2,FALSE)),"",VLOOKUP($F264,'Référentiel VGP'!$A$2:$B$33,2,FALSE)))</f>
        <v/>
      </c>
      <c r="H264" s="7"/>
      <c r="I264" s="8" t="str">
        <f>IF(OR($H264="",NOT(ISNUMBER($G264))),"",MIN(DATE(YEAR($H264),MONTH($H264)+$G264,DAY($H264)),DATE(YEAR($H264),MONTH($H264)+$G264+1,0)))</f>
        <v/>
      </c>
      <c r="J264" s="6" t="str">
        <f>IF($I264="","",$I264-TODAY())</f>
        <v/>
      </c>
      <c r="K264" s="9" t="str">
        <f>IF($F264="","",IF(NOT(ISNUMBER($G264)),"Hors champ",IF($H264="","À renseigner",IF($J264&lt;0,"Dépassée",IF($J264&lt;=30,"À planifier","À jour")))))</f>
        <v/>
      </c>
      <c r="L264" s="5"/>
      <c r="M264" s="5"/>
      <c r="N264" s="5"/>
    </row>
    <row r="265" spans="1:14" x14ac:dyDescent="0.25">
      <c r="A265" s="5"/>
      <c r="B265" s="5"/>
      <c r="C265" s="5"/>
      <c r="D265" s="5"/>
      <c r="E265" s="5"/>
      <c r="F265" s="5"/>
      <c r="G265" s="6" t="str">
        <f>IF($F265="","",IF(ISNA(VLOOKUP($F265,'Référentiel VGP'!$A$2:$B$33,2,FALSE)),"",VLOOKUP($F265,'Référentiel VGP'!$A$2:$B$33,2,FALSE)))</f>
        <v/>
      </c>
      <c r="H265" s="7"/>
      <c r="I265" s="8" t="str">
        <f>IF(OR($H265="",NOT(ISNUMBER($G265))),"",MIN(DATE(YEAR($H265),MONTH($H265)+$G265,DAY($H265)),DATE(YEAR($H265),MONTH($H265)+$G265+1,0)))</f>
        <v/>
      </c>
      <c r="J265" s="6" t="str">
        <f>IF($I265="","",$I265-TODAY())</f>
        <v/>
      </c>
      <c r="K265" s="9" t="str">
        <f>IF($F265="","",IF(NOT(ISNUMBER($G265)),"Hors champ",IF($H265="","À renseigner",IF($J265&lt;0,"Dépassée",IF($J265&lt;=30,"À planifier","À jour")))))</f>
        <v/>
      </c>
      <c r="L265" s="5"/>
      <c r="M265" s="5"/>
      <c r="N265" s="5"/>
    </row>
    <row r="266" spans="1:14" x14ac:dyDescent="0.25">
      <c r="A266" s="5"/>
      <c r="B266" s="5"/>
      <c r="C266" s="5"/>
      <c r="D266" s="5"/>
      <c r="E266" s="5"/>
      <c r="F266" s="5"/>
      <c r="G266" s="6" t="str">
        <f>IF($F266="","",IF(ISNA(VLOOKUP($F266,'Référentiel VGP'!$A$2:$B$33,2,FALSE)),"",VLOOKUP($F266,'Référentiel VGP'!$A$2:$B$33,2,FALSE)))</f>
        <v/>
      </c>
      <c r="H266" s="7"/>
      <c r="I266" s="8" t="str">
        <f>IF(OR($H266="",NOT(ISNUMBER($G266))),"",MIN(DATE(YEAR($H266),MONTH($H266)+$G266,DAY($H266)),DATE(YEAR($H266),MONTH($H266)+$G266+1,0)))</f>
        <v/>
      </c>
      <c r="J266" s="6" t="str">
        <f>IF($I266="","",$I266-TODAY())</f>
        <v/>
      </c>
      <c r="K266" s="9" t="str">
        <f>IF($F266="","",IF(NOT(ISNUMBER($G266)),"Hors champ",IF($H266="","À renseigner",IF($J266&lt;0,"Dépassée",IF($J266&lt;=30,"À planifier","À jour")))))</f>
        <v/>
      </c>
      <c r="L266" s="5"/>
      <c r="M266" s="5"/>
      <c r="N266" s="5"/>
    </row>
    <row r="267" spans="1:14" x14ac:dyDescent="0.25">
      <c r="A267" s="5"/>
      <c r="B267" s="5"/>
      <c r="C267" s="5"/>
      <c r="D267" s="5"/>
      <c r="E267" s="5"/>
      <c r="F267" s="5"/>
      <c r="G267" s="6" t="str">
        <f>IF($F267="","",IF(ISNA(VLOOKUP($F267,'Référentiel VGP'!$A$2:$B$33,2,FALSE)),"",VLOOKUP($F267,'Référentiel VGP'!$A$2:$B$33,2,FALSE)))</f>
        <v/>
      </c>
      <c r="H267" s="7"/>
      <c r="I267" s="8" t="str">
        <f>IF(OR($H267="",NOT(ISNUMBER($G267))),"",MIN(DATE(YEAR($H267),MONTH($H267)+$G267,DAY($H267)),DATE(YEAR($H267),MONTH($H267)+$G267+1,0)))</f>
        <v/>
      </c>
      <c r="J267" s="6" t="str">
        <f>IF($I267="","",$I267-TODAY())</f>
        <v/>
      </c>
      <c r="K267" s="9" t="str">
        <f>IF($F267="","",IF(NOT(ISNUMBER($G267)),"Hors champ",IF($H267="","À renseigner",IF($J267&lt;0,"Dépassée",IF($J267&lt;=30,"À planifier","À jour")))))</f>
        <v/>
      </c>
      <c r="L267" s="5"/>
      <c r="M267" s="5"/>
      <c r="N267" s="5"/>
    </row>
    <row r="268" spans="1:14" x14ac:dyDescent="0.25">
      <c r="A268" s="5"/>
      <c r="B268" s="5"/>
      <c r="C268" s="5"/>
      <c r="D268" s="5"/>
      <c r="E268" s="5"/>
      <c r="F268" s="5"/>
      <c r="G268" s="6" t="str">
        <f>IF($F268="","",IF(ISNA(VLOOKUP($F268,'Référentiel VGP'!$A$2:$B$33,2,FALSE)),"",VLOOKUP($F268,'Référentiel VGP'!$A$2:$B$33,2,FALSE)))</f>
        <v/>
      </c>
      <c r="H268" s="7"/>
      <c r="I268" s="8" t="str">
        <f>IF(OR($H268="",NOT(ISNUMBER($G268))),"",MIN(DATE(YEAR($H268),MONTH($H268)+$G268,DAY($H268)),DATE(YEAR($H268),MONTH($H268)+$G268+1,0)))</f>
        <v/>
      </c>
      <c r="J268" s="6" t="str">
        <f>IF($I268="","",$I268-TODAY())</f>
        <v/>
      </c>
      <c r="K268" s="9" t="str">
        <f>IF($F268="","",IF(NOT(ISNUMBER($G268)),"Hors champ",IF($H268="","À renseigner",IF($J268&lt;0,"Dépassée",IF($J268&lt;=30,"À planifier","À jour")))))</f>
        <v/>
      </c>
      <c r="L268" s="5"/>
      <c r="M268" s="5"/>
      <c r="N268" s="5"/>
    </row>
    <row r="269" spans="1:14" x14ac:dyDescent="0.25">
      <c r="A269" s="5"/>
      <c r="B269" s="5"/>
      <c r="C269" s="5"/>
      <c r="D269" s="5"/>
      <c r="E269" s="5"/>
      <c r="F269" s="5"/>
      <c r="G269" s="6" t="str">
        <f>IF($F269="","",IF(ISNA(VLOOKUP($F269,'Référentiel VGP'!$A$2:$B$33,2,FALSE)),"",VLOOKUP($F269,'Référentiel VGP'!$A$2:$B$33,2,FALSE)))</f>
        <v/>
      </c>
      <c r="H269" s="7"/>
      <c r="I269" s="8" t="str">
        <f>IF(OR($H269="",NOT(ISNUMBER($G269))),"",MIN(DATE(YEAR($H269),MONTH($H269)+$G269,DAY($H269)),DATE(YEAR($H269),MONTH($H269)+$G269+1,0)))</f>
        <v/>
      </c>
      <c r="J269" s="6" t="str">
        <f>IF($I269="","",$I269-TODAY())</f>
        <v/>
      </c>
      <c r="K269" s="9" t="str">
        <f>IF($F269="","",IF(NOT(ISNUMBER($G269)),"Hors champ",IF($H269="","À renseigner",IF($J269&lt;0,"Dépassée",IF($J269&lt;=30,"À planifier","À jour")))))</f>
        <v/>
      </c>
      <c r="L269" s="5"/>
      <c r="M269" s="5"/>
      <c r="N269" s="5"/>
    </row>
    <row r="270" spans="1:14" x14ac:dyDescent="0.25">
      <c r="A270" s="5"/>
      <c r="B270" s="5"/>
      <c r="C270" s="5"/>
      <c r="D270" s="5"/>
      <c r="E270" s="5"/>
      <c r="F270" s="5"/>
      <c r="G270" s="6" t="str">
        <f>IF($F270="","",IF(ISNA(VLOOKUP($F270,'Référentiel VGP'!$A$2:$B$33,2,FALSE)),"",VLOOKUP($F270,'Référentiel VGP'!$A$2:$B$33,2,FALSE)))</f>
        <v/>
      </c>
      <c r="H270" s="7"/>
      <c r="I270" s="8" t="str">
        <f>IF(OR($H270="",NOT(ISNUMBER($G270))),"",MIN(DATE(YEAR($H270),MONTH($H270)+$G270,DAY($H270)),DATE(YEAR($H270),MONTH($H270)+$G270+1,0)))</f>
        <v/>
      </c>
      <c r="J270" s="6" t="str">
        <f>IF($I270="","",$I270-TODAY())</f>
        <v/>
      </c>
      <c r="K270" s="9" t="str">
        <f>IF($F270="","",IF(NOT(ISNUMBER($G270)),"Hors champ",IF($H270="","À renseigner",IF($J270&lt;0,"Dépassée",IF($J270&lt;=30,"À planifier","À jour")))))</f>
        <v/>
      </c>
      <c r="L270" s="5"/>
      <c r="M270" s="5"/>
      <c r="N270" s="5"/>
    </row>
    <row r="271" spans="1:14" x14ac:dyDescent="0.25">
      <c r="A271" s="5"/>
      <c r="B271" s="5"/>
      <c r="C271" s="5"/>
      <c r="D271" s="5"/>
      <c r="E271" s="5"/>
      <c r="F271" s="5"/>
      <c r="G271" s="6" t="str">
        <f>IF($F271="","",IF(ISNA(VLOOKUP($F271,'Référentiel VGP'!$A$2:$B$33,2,FALSE)),"",VLOOKUP($F271,'Référentiel VGP'!$A$2:$B$33,2,FALSE)))</f>
        <v/>
      </c>
      <c r="H271" s="7"/>
      <c r="I271" s="8" t="str">
        <f>IF(OR($H271="",NOT(ISNUMBER($G271))),"",MIN(DATE(YEAR($H271),MONTH($H271)+$G271,DAY($H271)),DATE(YEAR($H271),MONTH($H271)+$G271+1,0)))</f>
        <v/>
      </c>
      <c r="J271" s="6" t="str">
        <f>IF($I271="","",$I271-TODAY())</f>
        <v/>
      </c>
      <c r="K271" s="9" t="str">
        <f>IF($F271="","",IF(NOT(ISNUMBER($G271)),"Hors champ",IF($H271="","À renseigner",IF($J271&lt;0,"Dépassée",IF($J271&lt;=30,"À planifier","À jour")))))</f>
        <v/>
      </c>
      <c r="L271" s="5"/>
      <c r="M271" s="5"/>
      <c r="N271" s="5"/>
    </row>
    <row r="272" spans="1:14" x14ac:dyDescent="0.25">
      <c r="A272" s="5"/>
      <c r="B272" s="5"/>
      <c r="C272" s="5"/>
      <c r="D272" s="5"/>
      <c r="E272" s="5"/>
      <c r="F272" s="5"/>
      <c r="G272" s="6" t="str">
        <f>IF($F272="","",IF(ISNA(VLOOKUP($F272,'Référentiel VGP'!$A$2:$B$33,2,FALSE)),"",VLOOKUP($F272,'Référentiel VGP'!$A$2:$B$33,2,FALSE)))</f>
        <v/>
      </c>
      <c r="H272" s="7"/>
      <c r="I272" s="8" t="str">
        <f>IF(OR($H272="",NOT(ISNUMBER($G272))),"",MIN(DATE(YEAR($H272),MONTH($H272)+$G272,DAY($H272)),DATE(YEAR($H272),MONTH($H272)+$G272+1,0)))</f>
        <v/>
      </c>
      <c r="J272" s="6" t="str">
        <f>IF($I272="","",$I272-TODAY())</f>
        <v/>
      </c>
      <c r="K272" s="9" t="str">
        <f>IF($F272="","",IF(NOT(ISNUMBER($G272)),"Hors champ",IF($H272="","À renseigner",IF($J272&lt;0,"Dépassée",IF($J272&lt;=30,"À planifier","À jour")))))</f>
        <v/>
      </c>
      <c r="L272" s="5"/>
      <c r="M272" s="5"/>
      <c r="N272" s="5"/>
    </row>
    <row r="273" spans="1:14" x14ac:dyDescent="0.25">
      <c r="A273" s="5"/>
      <c r="B273" s="5"/>
      <c r="C273" s="5"/>
      <c r="D273" s="5"/>
      <c r="E273" s="5"/>
      <c r="F273" s="5"/>
      <c r="G273" s="6" t="str">
        <f>IF($F273="","",IF(ISNA(VLOOKUP($F273,'Référentiel VGP'!$A$2:$B$33,2,FALSE)),"",VLOOKUP($F273,'Référentiel VGP'!$A$2:$B$33,2,FALSE)))</f>
        <v/>
      </c>
      <c r="H273" s="7"/>
      <c r="I273" s="8" t="str">
        <f>IF(OR($H273="",NOT(ISNUMBER($G273))),"",MIN(DATE(YEAR($H273),MONTH($H273)+$G273,DAY($H273)),DATE(YEAR($H273),MONTH($H273)+$G273+1,0)))</f>
        <v/>
      </c>
      <c r="J273" s="6" t="str">
        <f>IF($I273="","",$I273-TODAY())</f>
        <v/>
      </c>
      <c r="K273" s="9" t="str">
        <f>IF($F273="","",IF(NOT(ISNUMBER($G273)),"Hors champ",IF($H273="","À renseigner",IF($J273&lt;0,"Dépassée",IF($J273&lt;=30,"À planifier","À jour")))))</f>
        <v/>
      </c>
      <c r="L273" s="5"/>
      <c r="M273" s="5"/>
      <c r="N273" s="5"/>
    </row>
    <row r="274" spans="1:14" x14ac:dyDescent="0.25">
      <c r="A274" s="5"/>
      <c r="B274" s="5"/>
      <c r="C274" s="5"/>
      <c r="D274" s="5"/>
      <c r="E274" s="5"/>
      <c r="F274" s="5"/>
      <c r="G274" s="6" t="str">
        <f>IF($F274="","",IF(ISNA(VLOOKUP($F274,'Référentiel VGP'!$A$2:$B$33,2,FALSE)),"",VLOOKUP($F274,'Référentiel VGP'!$A$2:$B$33,2,FALSE)))</f>
        <v/>
      </c>
      <c r="H274" s="7"/>
      <c r="I274" s="8" t="str">
        <f>IF(OR($H274="",NOT(ISNUMBER($G274))),"",MIN(DATE(YEAR($H274),MONTH($H274)+$G274,DAY($H274)),DATE(YEAR($H274),MONTH($H274)+$G274+1,0)))</f>
        <v/>
      </c>
      <c r="J274" s="6" t="str">
        <f>IF($I274="","",$I274-TODAY())</f>
        <v/>
      </c>
      <c r="K274" s="9" t="str">
        <f>IF($F274="","",IF(NOT(ISNUMBER($G274)),"Hors champ",IF($H274="","À renseigner",IF($J274&lt;0,"Dépassée",IF($J274&lt;=30,"À planifier","À jour")))))</f>
        <v/>
      </c>
      <c r="L274" s="5"/>
      <c r="M274" s="5"/>
      <c r="N274" s="5"/>
    </row>
    <row r="275" spans="1:14" x14ac:dyDescent="0.25">
      <c r="A275" s="5"/>
      <c r="B275" s="5"/>
      <c r="C275" s="5"/>
      <c r="D275" s="5"/>
      <c r="E275" s="5"/>
      <c r="F275" s="5"/>
      <c r="G275" s="6" t="str">
        <f>IF($F275="","",IF(ISNA(VLOOKUP($F275,'Référentiel VGP'!$A$2:$B$33,2,FALSE)),"",VLOOKUP($F275,'Référentiel VGP'!$A$2:$B$33,2,FALSE)))</f>
        <v/>
      </c>
      <c r="H275" s="7"/>
      <c r="I275" s="8" t="str">
        <f>IF(OR($H275="",NOT(ISNUMBER($G275))),"",MIN(DATE(YEAR($H275),MONTH($H275)+$G275,DAY($H275)),DATE(YEAR($H275),MONTH($H275)+$G275+1,0)))</f>
        <v/>
      </c>
      <c r="J275" s="6" t="str">
        <f>IF($I275="","",$I275-TODAY())</f>
        <v/>
      </c>
      <c r="K275" s="9" t="str">
        <f>IF($F275="","",IF(NOT(ISNUMBER($G275)),"Hors champ",IF($H275="","À renseigner",IF($J275&lt;0,"Dépassée",IF($J275&lt;=30,"À planifier","À jour")))))</f>
        <v/>
      </c>
      <c r="L275" s="5"/>
      <c r="M275" s="5"/>
      <c r="N275" s="5"/>
    </row>
    <row r="276" spans="1:14" x14ac:dyDescent="0.25">
      <c r="A276" s="5"/>
      <c r="B276" s="5"/>
      <c r="C276" s="5"/>
      <c r="D276" s="5"/>
      <c r="E276" s="5"/>
      <c r="F276" s="5"/>
      <c r="G276" s="6" t="str">
        <f>IF($F276="","",IF(ISNA(VLOOKUP($F276,'Référentiel VGP'!$A$2:$B$33,2,FALSE)),"",VLOOKUP($F276,'Référentiel VGP'!$A$2:$B$33,2,FALSE)))</f>
        <v/>
      </c>
      <c r="H276" s="7"/>
      <c r="I276" s="8" t="str">
        <f>IF(OR($H276="",NOT(ISNUMBER($G276))),"",MIN(DATE(YEAR($H276),MONTH($H276)+$G276,DAY($H276)),DATE(YEAR($H276),MONTH($H276)+$G276+1,0)))</f>
        <v/>
      </c>
      <c r="J276" s="6" t="str">
        <f>IF($I276="","",$I276-TODAY())</f>
        <v/>
      </c>
      <c r="K276" s="9" t="str">
        <f>IF($F276="","",IF(NOT(ISNUMBER($G276)),"Hors champ",IF($H276="","À renseigner",IF($J276&lt;0,"Dépassée",IF($J276&lt;=30,"À planifier","À jour")))))</f>
        <v/>
      </c>
      <c r="L276" s="5"/>
      <c r="M276" s="5"/>
      <c r="N276" s="5"/>
    </row>
    <row r="277" spans="1:14" x14ac:dyDescent="0.25">
      <c r="A277" s="5"/>
      <c r="B277" s="5"/>
      <c r="C277" s="5"/>
      <c r="D277" s="5"/>
      <c r="E277" s="5"/>
      <c r="F277" s="5"/>
      <c r="G277" s="6" t="str">
        <f>IF($F277="","",IF(ISNA(VLOOKUP($F277,'Référentiel VGP'!$A$2:$B$33,2,FALSE)),"",VLOOKUP($F277,'Référentiel VGP'!$A$2:$B$33,2,FALSE)))</f>
        <v/>
      </c>
      <c r="H277" s="7"/>
      <c r="I277" s="8" t="str">
        <f>IF(OR($H277="",NOT(ISNUMBER($G277))),"",MIN(DATE(YEAR($H277),MONTH($H277)+$G277,DAY($H277)),DATE(YEAR($H277),MONTH($H277)+$G277+1,0)))</f>
        <v/>
      </c>
      <c r="J277" s="6" t="str">
        <f>IF($I277="","",$I277-TODAY())</f>
        <v/>
      </c>
      <c r="K277" s="9" t="str">
        <f>IF($F277="","",IF(NOT(ISNUMBER($G277)),"Hors champ",IF($H277="","À renseigner",IF($J277&lt;0,"Dépassée",IF($J277&lt;=30,"À planifier","À jour")))))</f>
        <v/>
      </c>
      <c r="L277" s="5"/>
      <c r="M277" s="5"/>
      <c r="N277" s="5"/>
    </row>
    <row r="278" spans="1:14" x14ac:dyDescent="0.25">
      <c r="A278" s="5"/>
      <c r="B278" s="5"/>
      <c r="C278" s="5"/>
      <c r="D278" s="5"/>
      <c r="E278" s="5"/>
      <c r="F278" s="5"/>
      <c r="G278" s="6" t="str">
        <f>IF($F278="","",IF(ISNA(VLOOKUP($F278,'Référentiel VGP'!$A$2:$B$33,2,FALSE)),"",VLOOKUP($F278,'Référentiel VGP'!$A$2:$B$33,2,FALSE)))</f>
        <v/>
      </c>
      <c r="H278" s="7"/>
      <c r="I278" s="8" t="str">
        <f>IF(OR($H278="",NOT(ISNUMBER($G278))),"",MIN(DATE(YEAR($H278),MONTH($H278)+$G278,DAY($H278)),DATE(YEAR($H278),MONTH($H278)+$G278+1,0)))</f>
        <v/>
      </c>
      <c r="J278" s="6" t="str">
        <f>IF($I278="","",$I278-TODAY())</f>
        <v/>
      </c>
      <c r="K278" s="9" t="str">
        <f>IF($F278="","",IF(NOT(ISNUMBER($G278)),"Hors champ",IF($H278="","À renseigner",IF($J278&lt;0,"Dépassée",IF($J278&lt;=30,"À planifier","À jour")))))</f>
        <v/>
      </c>
      <c r="L278" s="5"/>
      <c r="M278" s="5"/>
      <c r="N278" s="5"/>
    </row>
    <row r="279" spans="1:14" x14ac:dyDescent="0.25">
      <c r="A279" s="5"/>
      <c r="B279" s="5"/>
      <c r="C279" s="5"/>
      <c r="D279" s="5"/>
      <c r="E279" s="5"/>
      <c r="F279" s="5"/>
      <c r="G279" s="6" t="str">
        <f>IF($F279="","",IF(ISNA(VLOOKUP($F279,'Référentiel VGP'!$A$2:$B$33,2,FALSE)),"",VLOOKUP($F279,'Référentiel VGP'!$A$2:$B$33,2,FALSE)))</f>
        <v/>
      </c>
      <c r="H279" s="7"/>
      <c r="I279" s="8" t="str">
        <f>IF(OR($H279="",NOT(ISNUMBER($G279))),"",MIN(DATE(YEAR($H279),MONTH($H279)+$G279,DAY($H279)),DATE(YEAR($H279),MONTH($H279)+$G279+1,0)))</f>
        <v/>
      </c>
      <c r="J279" s="6" t="str">
        <f>IF($I279="","",$I279-TODAY())</f>
        <v/>
      </c>
      <c r="K279" s="9" t="str">
        <f>IF($F279="","",IF(NOT(ISNUMBER($G279)),"Hors champ",IF($H279="","À renseigner",IF($J279&lt;0,"Dépassée",IF($J279&lt;=30,"À planifier","À jour")))))</f>
        <v/>
      </c>
      <c r="L279" s="5"/>
      <c r="M279" s="5"/>
      <c r="N279" s="5"/>
    </row>
    <row r="280" spans="1:14" x14ac:dyDescent="0.25">
      <c r="A280" s="5"/>
      <c r="B280" s="5"/>
      <c r="C280" s="5"/>
      <c r="D280" s="5"/>
      <c r="E280" s="5"/>
      <c r="F280" s="5"/>
      <c r="G280" s="6" t="str">
        <f>IF($F280="","",IF(ISNA(VLOOKUP($F280,'Référentiel VGP'!$A$2:$B$33,2,FALSE)),"",VLOOKUP($F280,'Référentiel VGP'!$A$2:$B$33,2,FALSE)))</f>
        <v/>
      </c>
      <c r="H280" s="7"/>
      <c r="I280" s="8" t="str">
        <f>IF(OR($H280="",NOT(ISNUMBER($G280))),"",MIN(DATE(YEAR($H280),MONTH($H280)+$G280,DAY($H280)),DATE(YEAR($H280),MONTH($H280)+$G280+1,0)))</f>
        <v/>
      </c>
      <c r="J280" s="6" t="str">
        <f>IF($I280="","",$I280-TODAY())</f>
        <v/>
      </c>
      <c r="K280" s="9" t="str">
        <f>IF($F280="","",IF(NOT(ISNUMBER($G280)),"Hors champ",IF($H280="","À renseigner",IF($J280&lt;0,"Dépassée",IF($J280&lt;=30,"À planifier","À jour")))))</f>
        <v/>
      </c>
      <c r="L280" s="5"/>
      <c r="M280" s="5"/>
      <c r="N280" s="5"/>
    </row>
    <row r="281" spans="1:14" x14ac:dyDescent="0.25">
      <c r="A281" s="5"/>
      <c r="B281" s="5"/>
      <c r="C281" s="5"/>
      <c r="D281" s="5"/>
      <c r="E281" s="5"/>
      <c r="F281" s="5"/>
      <c r="G281" s="6" t="str">
        <f>IF($F281="","",IF(ISNA(VLOOKUP($F281,'Référentiel VGP'!$A$2:$B$33,2,FALSE)),"",VLOOKUP($F281,'Référentiel VGP'!$A$2:$B$33,2,FALSE)))</f>
        <v/>
      </c>
      <c r="H281" s="7"/>
      <c r="I281" s="8" t="str">
        <f>IF(OR($H281="",NOT(ISNUMBER($G281))),"",MIN(DATE(YEAR($H281),MONTH($H281)+$G281,DAY($H281)),DATE(YEAR($H281),MONTH($H281)+$G281+1,0)))</f>
        <v/>
      </c>
      <c r="J281" s="6" t="str">
        <f>IF($I281="","",$I281-TODAY())</f>
        <v/>
      </c>
      <c r="K281" s="9" t="str">
        <f>IF($F281="","",IF(NOT(ISNUMBER($G281)),"Hors champ",IF($H281="","À renseigner",IF($J281&lt;0,"Dépassée",IF($J281&lt;=30,"À planifier","À jour")))))</f>
        <v/>
      </c>
      <c r="L281" s="5"/>
      <c r="M281" s="5"/>
      <c r="N281" s="5"/>
    </row>
    <row r="282" spans="1:14" x14ac:dyDescent="0.25">
      <c r="A282" s="5"/>
      <c r="B282" s="5"/>
      <c r="C282" s="5"/>
      <c r="D282" s="5"/>
      <c r="E282" s="5"/>
      <c r="F282" s="5"/>
      <c r="G282" s="6" t="str">
        <f>IF($F282="","",IF(ISNA(VLOOKUP($F282,'Référentiel VGP'!$A$2:$B$33,2,FALSE)),"",VLOOKUP($F282,'Référentiel VGP'!$A$2:$B$33,2,FALSE)))</f>
        <v/>
      </c>
      <c r="H282" s="7"/>
      <c r="I282" s="8" t="str">
        <f>IF(OR($H282="",NOT(ISNUMBER($G282))),"",MIN(DATE(YEAR($H282),MONTH($H282)+$G282,DAY($H282)),DATE(YEAR($H282),MONTH($H282)+$G282+1,0)))</f>
        <v/>
      </c>
      <c r="J282" s="6" t="str">
        <f>IF($I282="","",$I282-TODAY())</f>
        <v/>
      </c>
      <c r="K282" s="9" t="str">
        <f>IF($F282="","",IF(NOT(ISNUMBER($G282)),"Hors champ",IF($H282="","À renseigner",IF($J282&lt;0,"Dépassée",IF($J282&lt;=30,"À planifier","À jour")))))</f>
        <v/>
      </c>
      <c r="L282" s="5"/>
      <c r="M282" s="5"/>
      <c r="N282" s="5"/>
    </row>
    <row r="283" spans="1:14" x14ac:dyDescent="0.25">
      <c r="A283" s="5"/>
      <c r="B283" s="5"/>
      <c r="C283" s="5"/>
      <c r="D283" s="5"/>
      <c r="E283" s="5"/>
      <c r="F283" s="5"/>
      <c r="G283" s="6" t="str">
        <f>IF($F283="","",IF(ISNA(VLOOKUP($F283,'Référentiel VGP'!$A$2:$B$33,2,FALSE)),"",VLOOKUP($F283,'Référentiel VGP'!$A$2:$B$33,2,FALSE)))</f>
        <v/>
      </c>
      <c r="H283" s="7"/>
      <c r="I283" s="8" t="str">
        <f>IF(OR($H283="",NOT(ISNUMBER($G283))),"",MIN(DATE(YEAR($H283),MONTH($H283)+$G283,DAY($H283)),DATE(YEAR($H283),MONTH($H283)+$G283+1,0)))</f>
        <v/>
      </c>
      <c r="J283" s="6" t="str">
        <f>IF($I283="","",$I283-TODAY())</f>
        <v/>
      </c>
      <c r="K283" s="9" t="str">
        <f>IF($F283="","",IF(NOT(ISNUMBER($G283)),"Hors champ",IF($H283="","À renseigner",IF($J283&lt;0,"Dépassée",IF($J283&lt;=30,"À planifier","À jour")))))</f>
        <v/>
      </c>
      <c r="L283" s="5"/>
      <c r="M283" s="5"/>
      <c r="N283" s="5"/>
    </row>
    <row r="284" spans="1:14" x14ac:dyDescent="0.25">
      <c r="A284" s="5"/>
      <c r="B284" s="5"/>
      <c r="C284" s="5"/>
      <c r="D284" s="5"/>
      <c r="E284" s="5"/>
      <c r="F284" s="5"/>
      <c r="G284" s="6" t="str">
        <f>IF($F284="","",IF(ISNA(VLOOKUP($F284,'Référentiel VGP'!$A$2:$B$33,2,FALSE)),"",VLOOKUP($F284,'Référentiel VGP'!$A$2:$B$33,2,FALSE)))</f>
        <v/>
      </c>
      <c r="H284" s="7"/>
      <c r="I284" s="8" t="str">
        <f>IF(OR($H284="",NOT(ISNUMBER($G284))),"",MIN(DATE(YEAR($H284),MONTH($H284)+$G284,DAY($H284)),DATE(YEAR($H284),MONTH($H284)+$G284+1,0)))</f>
        <v/>
      </c>
      <c r="J284" s="6" t="str">
        <f>IF($I284="","",$I284-TODAY())</f>
        <v/>
      </c>
      <c r="K284" s="9" t="str">
        <f>IF($F284="","",IF(NOT(ISNUMBER($G284)),"Hors champ",IF($H284="","À renseigner",IF($J284&lt;0,"Dépassée",IF($J284&lt;=30,"À planifier","À jour")))))</f>
        <v/>
      </c>
      <c r="L284" s="5"/>
      <c r="M284" s="5"/>
      <c r="N284" s="5"/>
    </row>
    <row r="285" spans="1:14" x14ac:dyDescent="0.25">
      <c r="A285" s="5"/>
      <c r="B285" s="5"/>
      <c r="C285" s="5"/>
      <c r="D285" s="5"/>
      <c r="E285" s="5"/>
      <c r="F285" s="5"/>
      <c r="G285" s="6" t="str">
        <f>IF($F285="","",IF(ISNA(VLOOKUP($F285,'Référentiel VGP'!$A$2:$B$33,2,FALSE)),"",VLOOKUP($F285,'Référentiel VGP'!$A$2:$B$33,2,FALSE)))</f>
        <v/>
      </c>
      <c r="H285" s="7"/>
      <c r="I285" s="8" t="str">
        <f>IF(OR($H285="",NOT(ISNUMBER($G285))),"",MIN(DATE(YEAR($H285),MONTH($H285)+$G285,DAY($H285)),DATE(YEAR($H285),MONTH($H285)+$G285+1,0)))</f>
        <v/>
      </c>
      <c r="J285" s="6" t="str">
        <f>IF($I285="","",$I285-TODAY())</f>
        <v/>
      </c>
      <c r="K285" s="9" t="str">
        <f>IF($F285="","",IF(NOT(ISNUMBER($G285)),"Hors champ",IF($H285="","À renseigner",IF($J285&lt;0,"Dépassée",IF($J285&lt;=30,"À planifier","À jour")))))</f>
        <v/>
      </c>
      <c r="L285" s="5"/>
      <c r="M285" s="5"/>
      <c r="N285" s="5"/>
    </row>
    <row r="286" spans="1:14" x14ac:dyDescent="0.25">
      <c r="A286" s="5"/>
      <c r="B286" s="5"/>
      <c r="C286" s="5"/>
      <c r="D286" s="5"/>
      <c r="E286" s="5"/>
      <c r="F286" s="5"/>
      <c r="G286" s="6" t="str">
        <f>IF($F286="","",IF(ISNA(VLOOKUP($F286,'Référentiel VGP'!$A$2:$B$33,2,FALSE)),"",VLOOKUP($F286,'Référentiel VGP'!$A$2:$B$33,2,FALSE)))</f>
        <v/>
      </c>
      <c r="H286" s="7"/>
      <c r="I286" s="8" t="str">
        <f>IF(OR($H286="",NOT(ISNUMBER($G286))),"",MIN(DATE(YEAR($H286),MONTH($H286)+$G286,DAY($H286)),DATE(YEAR($H286),MONTH($H286)+$G286+1,0)))</f>
        <v/>
      </c>
      <c r="J286" s="6" t="str">
        <f>IF($I286="","",$I286-TODAY())</f>
        <v/>
      </c>
      <c r="K286" s="9" t="str">
        <f>IF($F286="","",IF(NOT(ISNUMBER($G286)),"Hors champ",IF($H286="","À renseigner",IF($J286&lt;0,"Dépassée",IF($J286&lt;=30,"À planifier","À jour")))))</f>
        <v/>
      </c>
      <c r="L286" s="5"/>
      <c r="M286" s="5"/>
      <c r="N286" s="5"/>
    </row>
    <row r="287" spans="1:14" x14ac:dyDescent="0.25">
      <c r="A287" s="5"/>
      <c r="B287" s="5"/>
      <c r="C287" s="5"/>
      <c r="D287" s="5"/>
      <c r="E287" s="5"/>
      <c r="F287" s="5"/>
      <c r="G287" s="6" t="str">
        <f>IF($F287="","",IF(ISNA(VLOOKUP($F287,'Référentiel VGP'!$A$2:$B$33,2,FALSE)),"",VLOOKUP($F287,'Référentiel VGP'!$A$2:$B$33,2,FALSE)))</f>
        <v/>
      </c>
      <c r="H287" s="7"/>
      <c r="I287" s="8" t="str">
        <f>IF(OR($H287="",NOT(ISNUMBER($G287))),"",MIN(DATE(YEAR($H287),MONTH($H287)+$G287,DAY($H287)),DATE(YEAR($H287),MONTH($H287)+$G287+1,0)))</f>
        <v/>
      </c>
      <c r="J287" s="6" t="str">
        <f>IF($I287="","",$I287-TODAY())</f>
        <v/>
      </c>
      <c r="K287" s="9" t="str">
        <f>IF($F287="","",IF(NOT(ISNUMBER($G287)),"Hors champ",IF($H287="","À renseigner",IF($J287&lt;0,"Dépassée",IF($J287&lt;=30,"À planifier","À jour")))))</f>
        <v/>
      </c>
      <c r="L287" s="5"/>
      <c r="M287" s="5"/>
      <c r="N287" s="5"/>
    </row>
    <row r="288" spans="1:14" x14ac:dyDescent="0.25">
      <c r="A288" s="5"/>
      <c r="B288" s="5"/>
      <c r="C288" s="5"/>
      <c r="D288" s="5"/>
      <c r="E288" s="5"/>
      <c r="F288" s="5"/>
      <c r="G288" s="6" t="str">
        <f>IF($F288="","",IF(ISNA(VLOOKUP($F288,'Référentiel VGP'!$A$2:$B$33,2,FALSE)),"",VLOOKUP($F288,'Référentiel VGP'!$A$2:$B$33,2,FALSE)))</f>
        <v/>
      </c>
      <c r="H288" s="7"/>
      <c r="I288" s="8" t="str">
        <f>IF(OR($H288="",NOT(ISNUMBER($G288))),"",MIN(DATE(YEAR($H288),MONTH($H288)+$G288,DAY($H288)),DATE(YEAR($H288),MONTH($H288)+$G288+1,0)))</f>
        <v/>
      </c>
      <c r="J288" s="6" t="str">
        <f>IF($I288="","",$I288-TODAY())</f>
        <v/>
      </c>
      <c r="K288" s="9" t="str">
        <f>IF($F288="","",IF(NOT(ISNUMBER($G288)),"Hors champ",IF($H288="","À renseigner",IF($J288&lt;0,"Dépassée",IF($J288&lt;=30,"À planifier","À jour")))))</f>
        <v/>
      </c>
      <c r="L288" s="5"/>
      <c r="M288" s="5"/>
      <c r="N288" s="5"/>
    </row>
    <row r="289" spans="1:14" x14ac:dyDescent="0.25">
      <c r="A289" s="5"/>
      <c r="B289" s="5"/>
      <c r="C289" s="5"/>
      <c r="D289" s="5"/>
      <c r="E289" s="5"/>
      <c r="F289" s="5"/>
      <c r="G289" s="6" t="str">
        <f>IF($F289="","",IF(ISNA(VLOOKUP($F289,'Référentiel VGP'!$A$2:$B$33,2,FALSE)),"",VLOOKUP($F289,'Référentiel VGP'!$A$2:$B$33,2,FALSE)))</f>
        <v/>
      </c>
      <c r="H289" s="7"/>
      <c r="I289" s="8" t="str">
        <f>IF(OR($H289="",NOT(ISNUMBER($G289))),"",MIN(DATE(YEAR($H289),MONTH($H289)+$G289,DAY($H289)),DATE(YEAR($H289),MONTH($H289)+$G289+1,0)))</f>
        <v/>
      </c>
      <c r="J289" s="6" t="str">
        <f>IF($I289="","",$I289-TODAY())</f>
        <v/>
      </c>
      <c r="K289" s="9" t="str">
        <f>IF($F289="","",IF(NOT(ISNUMBER($G289)),"Hors champ",IF($H289="","À renseigner",IF($J289&lt;0,"Dépassée",IF($J289&lt;=30,"À planifier","À jour")))))</f>
        <v/>
      </c>
      <c r="L289" s="5"/>
      <c r="M289" s="5"/>
      <c r="N289" s="5"/>
    </row>
    <row r="290" spans="1:14" x14ac:dyDescent="0.25">
      <c r="A290" s="5"/>
      <c r="B290" s="5"/>
      <c r="C290" s="5"/>
      <c r="D290" s="5"/>
      <c r="E290" s="5"/>
      <c r="F290" s="5"/>
      <c r="G290" s="6" t="str">
        <f>IF($F290="","",IF(ISNA(VLOOKUP($F290,'Référentiel VGP'!$A$2:$B$33,2,FALSE)),"",VLOOKUP($F290,'Référentiel VGP'!$A$2:$B$33,2,FALSE)))</f>
        <v/>
      </c>
      <c r="H290" s="7"/>
      <c r="I290" s="8" t="str">
        <f>IF(OR($H290="",NOT(ISNUMBER($G290))),"",MIN(DATE(YEAR($H290),MONTH($H290)+$G290,DAY($H290)),DATE(YEAR($H290),MONTH($H290)+$G290+1,0)))</f>
        <v/>
      </c>
      <c r="J290" s="6" t="str">
        <f>IF($I290="","",$I290-TODAY())</f>
        <v/>
      </c>
      <c r="K290" s="9" t="str">
        <f>IF($F290="","",IF(NOT(ISNUMBER($G290)),"Hors champ",IF($H290="","À renseigner",IF($J290&lt;0,"Dépassée",IF($J290&lt;=30,"À planifier","À jour")))))</f>
        <v/>
      </c>
      <c r="L290" s="5"/>
      <c r="M290" s="5"/>
      <c r="N290" s="5"/>
    </row>
    <row r="291" spans="1:14" x14ac:dyDescent="0.25">
      <c r="A291" s="5"/>
      <c r="B291" s="5"/>
      <c r="C291" s="5"/>
      <c r="D291" s="5"/>
      <c r="E291" s="5"/>
      <c r="F291" s="5"/>
      <c r="G291" s="6" t="str">
        <f>IF($F291="","",IF(ISNA(VLOOKUP($F291,'Référentiel VGP'!$A$2:$B$33,2,FALSE)),"",VLOOKUP($F291,'Référentiel VGP'!$A$2:$B$33,2,FALSE)))</f>
        <v/>
      </c>
      <c r="H291" s="7"/>
      <c r="I291" s="8" t="str">
        <f>IF(OR($H291="",NOT(ISNUMBER($G291))),"",MIN(DATE(YEAR($H291),MONTH($H291)+$G291,DAY($H291)),DATE(YEAR($H291),MONTH($H291)+$G291+1,0)))</f>
        <v/>
      </c>
      <c r="J291" s="6" t="str">
        <f>IF($I291="","",$I291-TODAY())</f>
        <v/>
      </c>
      <c r="K291" s="9" t="str">
        <f>IF($F291="","",IF(NOT(ISNUMBER($G291)),"Hors champ",IF($H291="","À renseigner",IF($J291&lt;0,"Dépassée",IF($J291&lt;=30,"À planifier","À jour")))))</f>
        <v/>
      </c>
      <c r="L291" s="5"/>
      <c r="M291" s="5"/>
      <c r="N291" s="5"/>
    </row>
    <row r="292" spans="1:14" x14ac:dyDescent="0.25">
      <c r="A292" s="5"/>
      <c r="B292" s="5"/>
      <c r="C292" s="5"/>
      <c r="D292" s="5"/>
      <c r="E292" s="5"/>
      <c r="F292" s="5"/>
      <c r="G292" s="6" t="str">
        <f>IF($F292="","",IF(ISNA(VLOOKUP($F292,'Référentiel VGP'!$A$2:$B$33,2,FALSE)),"",VLOOKUP($F292,'Référentiel VGP'!$A$2:$B$33,2,FALSE)))</f>
        <v/>
      </c>
      <c r="H292" s="7"/>
      <c r="I292" s="8" t="str">
        <f>IF(OR($H292="",NOT(ISNUMBER($G292))),"",MIN(DATE(YEAR($H292),MONTH($H292)+$G292,DAY($H292)),DATE(YEAR($H292),MONTH($H292)+$G292+1,0)))</f>
        <v/>
      </c>
      <c r="J292" s="6" t="str">
        <f>IF($I292="","",$I292-TODAY())</f>
        <v/>
      </c>
      <c r="K292" s="9" t="str">
        <f>IF($F292="","",IF(NOT(ISNUMBER($G292)),"Hors champ",IF($H292="","À renseigner",IF($J292&lt;0,"Dépassée",IF($J292&lt;=30,"À planifier","À jour")))))</f>
        <v/>
      </c>
      <c r="L292" s="5"/>
      <c r="M292" s="5"/>
      <c r="N292" s="5"/>
    </row>
    <row r="293" spans="1:14" x14ac:dyDescent="0.25">
      <c r="A293" s="5"/>
      <c r="B293" s="5"/>
      <c r="C293" s="5"/>
      <c r="D293" s="5"/>
      <c r="E293" s="5"/>
      <c r="F293" s="5"/>
      <c r="G293" s="6" t="str">
        <f>IF($F293="","",IF(ISNA(VLOOKUP($F293,'Référentiel VGP'!$A$2:$B$33,2,FALSE)),"",VLOOKUP($F293,'Référentiel VGP'!$A$2:$B$33,2,FALSE)))</f>
        <v/>
      </c>
      <c r="H293" s="7"/>
      <c r="I293" s="8" t="str">
        <f>IF(OR($H293="",NOT(ISNUMBER($G293))),"",MIN(DATE(YEAR($H293),MONTH($H293)+$G293,DAY($H293)),DATE(YEAR($H293),MONTH($H293)+$G293+1,0)))</f>
        <v/>
      </c>
      <c r="J293" s="6" t="str">
        <f>IF($I293="","",$I293-TODAY())</f>
        <v/>
      </c>
      <c r="K293" s="9" t="str">
        <f>IF($F293="","",IF(NOT(ISNUMBER($G293)),"Hors champ",IF($H293="","À renseigner",IF($J293&lt;0,"Dépassée",IF($J293&lt;=30,"À planifier","À jour")))))</f>
        <v/>
      </c>
      <c r="L293" s="5"/>
      <c r="M293" s="5"/>
      <c r="N293" s="5"/>
    </row>
    <row r="294" spans="1:14" x14ac:dyDescent="0.25">
      <c r="A294" s="5"/>
      <c r="B294" s="5"/>
      <c r="C294" s="5"/>
      <c r="D294" s="5"/>
      <c r="E294" s="5"/>
      <c r="F294" s="5"/>
      <c r="G294" s="6" t="str">
        <f>IF($F294="","",IF(ISNA(VLOOKUP($F294,'Référentiel VGP'!$A$2:$B$33,2,FALSE)),"",VLOOKUP($F294,'Référentiel VGP'!$A$2:$B$33,2,FALSE)))</f>
        <v/>
      </c>
      <c r="H294" s="7"/>
      <c r="I294" s="8" t="str">
        <f>IF(OR($H294="",NOT(ISNUMBER($G294))),"",MIN(DATE(YEAR($H294),MONTH($H294)+$G294,DAY($H294)),DATE(YEAR($H294),MONTH($H294)+$G294+1,0)))</f>
        <v/>
      </c>
      <c r="J294" s="6" t="str">
        <f>IF($I294="","",$I294-TODAY())</f>
        <v/>
      </c>
      <c r="K294" s="9" t="str">
        <f>IF($F294="","",IF(NOT(ISNUMBER($G294)),"Hors champ",IF($H294="","À renseigner",IF($J294&lt;0,"Dépassée",IF($J294&lt;=30,"À planifier","À jour")))))</f>
        <v/>
      </c>
      <c r="L294" s="5"/>
      <c r="M294" s="5"/>
      <c r="N294" s="5"/>
    </row>
    <row r="295" spans="1:14" x14ac:dyDescent="0.25">
      <c r="A295" s="5"/>
      <c r="B295" s="5"/>
      <c r="C295" s="5"/>
      <c r="D295" s="5"/>
      <c r="E295" s="5"/>
      <c r="F295" s="5"/>
      <c r="G295" s="6" t="str">
        <f>IF($F295="","",IF(ISNA(VLOOKUP($F295,'Référentiel VGP'!$A$2:$B$33,2,FALSE)),"",VLOOKUP($F295,'Référentiel VGP'!$A$2:$B$33,2,FALSE)))</f>
        <v/>
      </c>
      <c r="H295" s="7"/>
      <c r="I295" s="8" t="str">
        <f>IF(OR($H295="",NOT(ISNUMBER($G295))),"",MIN(DATE(YEAR($H295),MONTH($H295)+$G295,DAY($H295)),DATE(YEAR($H295),MONTH($H295)+$G295+1,0)))</f>
        <v/>
      </c>
      <c r="J295" s="6" t="str">
        <f>IF($I295="","",$I295-TODAY())</f>
        <v/>
      </c>
      <c r="K295" s="9" t="str">
        <f>IF($F295="","",IF(NOT(ISNUMBER($G295)),"Hors champ",IF($H295="","À renseigner",IF($J295&lt;0,"Dépassée",IF($J295&lt;=30,"À planifier","À jour")))))</f>
        <v/>
      </c>
      <c r="L295" s="5"/>
      <c r="M295" s="5"/>
      <c r="N295" s="5"/>
    </row>
    <row r="296" spans="1:14" x14ac:dyDescent="0.25">
      <c r="A296" s="5"/>
      <c r="B296" s="5"/>
      <c r="C296" s="5"/>
      <c r="D296" s="5"/>
      <c r="E296" s="5"/>
      <c r="F296" s="5"/>
      <c r="G296" s="6" t="str">
        <f>IF($F296="","",IF(ISNA(VLOOKUP($F296,'Référentiel VGP'!$A$2:$B$33,2,FALSE)),"",VLOOKUP($F296,'Référentiel VGP'!$A$2:$B$33,2,FALSE)))</f>
        <v/>
      </c>
      <c r="H296" s="7"/>
      <c r="I296" s="8" t="str">
        <f>IF(OR($H296="",NOT(ISNUMBER($G296))),"",MIN(DATE(YEAR($H296),MONTH($H296)+$G296,DAY($H296)),DATE(YEAR($H296),MONTH($H296)+$G296+1,0)))</f>
        <v/>
      </c>
      <c r="J296" s="6" t="str">
        <f>IF($I296="","",$I296-TODAY())</f>
        <v/>
      </c>
      <c r="K296" s="9" t="str">
        <f>IF($F296="","",IF(NOT(ISNUMBER($G296)),"Hors champ",IF($H296="","À renseigner",IF($J296&lt;0,"Dépassée",IF($J296&lt;=30,"À planifier","À jour")))))</f>
        <v/>
      </c>
      <c r="L296" s="5"/>
      <c r="M296" s="5"/>
      <c r="N296" s="5"/>
    </row>
    <row r="297" spans="1:14" x14ac:dyDescent="0.25">
      <c r="A297" s="5"/>
      <c r="B297" s="5"/>
      <c r="C297" s="5"/>
      <c r="D297" s="5"/>
      <c r="E297" s="5"/>
      <c r="F297" s="5"/>
      <c r="G297" s="6" t="str">
        <f>IF($F297="","",IF(ISNA(VLOOKUP($F297,'Référentiel VGP'!$A$2:$B$33,2,FALSE)),"",VLOOKUP($F297,'Référentiel VGP'!$A$2:$B$33,2,FALSE)))</f>
        <v/>
      </c>
      <c r="H297" s="7"/>
      <c r="I297" s="8" t="str">
        <f>IF(OR($H297="",NOT(ISNUMBER($G297))),"",MIN(DATE(YEAR($H297),MONTH($H297)+$G297,DAY($H297)),DATE(YEAR($H297),MONTH($H297)+$G297+1,0)))</f>
        <v/>
      </c>
      <c r="J297" s="6" t="str">
        <f>IF($I297="","",$I297-TODAY())</f>
        <v/>
      </c>
      <c r="K297" s="9" t="str">
        <f>IF($F297="","",IF(NOT(ISNUMBER($G297)),"Hors champ",IF($H297="","À renseigner",IF($J297&lt;0,"Dépassée",IF($J297&lt;=30,"À planifier","À jour")))))</f>
        <v/>
      </c>
      <c r="L297" s="5"/>
      <c r="M297" s="5"/>
      <c r="N297" s="5"/>
    </row>
    <row r="298" spans="1:14" x14ac:dyDescent="0.25">
      <c r="A298" s="5"/>
      <c r="B298" s="5"/>
      <c r="C298" s="5"/>
      <c r="D298" s="5"/>
      <c r="E298" s="5"/>
      <c r="F298" s="5"/>
      <c r="G298" s="6" t="str">
        <f>IF($F298="","",IF(ISNA(VLOOKUP($F298,'Référentiel VGP'!$A$2:$B$33,2,FALSE)),"",VLOOKUP($F298,'Référentiel VGP'!$A$2:$B$33,2,FALSE)))</f>
        <v/>
      </c>
      <c r="H298" s="7"/>
      <c r="I298" s="8" t="str">
        <f>IF(OR($H298="",NOT(ISNUMBER($G298))),"",MIN(DATE(YEAR($H298),MONTH($H298)+$G298,DAY($H298)),DATE(YEAR($H298),MONTH($H298)+$G298+1,0)))</f>
        <v/>
      </c>
      <c r="J298" s="6" t="str">
        <f>IF($I298="","",$I298-TODAY())</f>
        <v/>
      </c>
      <c r="K298" s="9" t="str">
        <f>IF($F298="","",IF(NOT(ISNUMBER($G298)),"Hors champ",IF($H298="","À renseigner",IF($J298&lt;0,"Dépassée",IF($J298&lt;=30,"À planifier","À jour")))))</f>
        <v/>
      </c>
      <c r="L298" s="5"/>
      <c r="M298" s="5"/>
      <c r="N298" s="5"/>
    </row>
    <row r="299" spans="1:14" x14ac:dyDescent="0.25">
      <c r="A299" s="5"/>
      <c r="B299" s="5"/>
      <c r="C299" s="5"/>
      <c r="D299" s="5"/>
      <c r="E299" s="5"/>
      <c r="F299" s="5"/>
      <c r="G299" s="6" t="str">
        <f>IF($F299="","",IF(ISNA(VLOOKUP($F299,'Référentiel VGP'!$A$2:$B$33,2,FALSE)),"",VLOOKUP($F299,'Référentiel VGP'!$A$2:$B$33,2,FALSE)))</f>
        <v/>
      </c>
      <c r="H299" s="7"/>
      <c r="I299" s="8" t="str">
        <f>IF(OR($H299="",NOT(ISNUMBER($G299))),"",MIN(DATE(YEAR($H299),MONTH($H299)+$G299,DAY($H299)),DATE(YEAR($H299),MONTH($H299)+$G299+1,0)))</f>
        <v/>
      </c>
      <c r="J299" s="6" t="str">
        <f>IF($I299="","",$I299-TODAY())</f>
        <v/>
      </c>
      <c r="K299" s="9" t="str">
        <f>IF($F299="","",IF(NOT(ISNUMBER($G299)),"Hors champ",IF($H299="","À renseigner",IF($J299&lt;0,"Dépassée",IF($J299&lt;=30,"À planifier","À jour")))))</f>
        <v/>
      </c>
      <c r="L299" s="5"/>
      <c r="M299" s="5"/>
      <c r="N299" s="5"/>
    </row>
    <row r="300" spans="1:14" x14ac:dyDescent="0.25">
      <c r="A300" s="5"/>
      <c r="B300" s="5"/>
      <c r="C300" s="5"/>
      <c r="D300" s="5"/>
      <c r="E300" s="5"/>
      <c r="F300" s="5"/>
      <c r="G300" s="6" t="str">
        <f>IF($F300="","",IF(ISNA(VLOOKUP($F300,'Référentiel VGP'!$A$2:$B$33,2,FALSE)),"",VLOOKUP($F300,'Référentiel VGP'!$A$2:$B$33,2,FALSE)))</f>
        <v/>
      </c>
      <c r="H300" s="7"/>
      <c r="I300" s="8" t="str">
        <f>IF(OR($H300="",NOT(ISNUMBER($G300))),"",MIN(DATE(YEAR($H300),MONTH($H300)+$G300,DAY($H300)),DATE(YEAR($H300),MONTH($H300)+$G300+1,0)))</f>
        <v/>
      </c>
      <c r="J300" s="6" t="str">
        <f>IF($I300="","",$I300-TODAY())</f>
        <v/>
      </c>
      <c r="K300" s="9" t="str">
        <f>IF($F300="","",IF(NOT(ISNUMBER($G300)),"Hors champ",IF($H300="","À renseigner",IF($J300&lt;0,"Dépassée",IF($J300&lt;=30,"À planifier","À jour")))))</f>
        <v/>
      </c>
      <c r="L300" s="5"/>
      <c r="M300" s="5"/>
      <c r="N300" s="5"/>
    </row>
    <row r="301" spans="1:14" x14ac:dyDescent="0.25">
      <c r="A301" s="5"/>
      <c r="B301" s="5"/>
      <c r="C301" s="5"/>
      <c r="D301" s="5"/>
      <c r="E301" s="5"/>
      <c r="F301" s="5"/>
      <c r="G301" s="6" t="str">
        <f>IF($F301="","",IF(ISNA(VLOOKUP($F301,'Référentiel VGP'!$A$2:$B$33,2,FALSE)),"",VLOOKUP($F301,'Référentiel VGP'!$A$2:$B$33,2,FALSE)))</f>
        <v/>
      </c>
      <c r="H301" s="7"/>
      <c r="I301" s="8" t="str">
        <f>IF(OR($H301="",NOT(ISNUMBER($G301))),"",MIN(DATE(YEAR($H301),MONTH($H301)+$G301,DAY($H301)),DATE(YEAR($H301),MONTH($H301)+$G301+1,0)))</f>
        <v/>
      </c>
      <c r="J301" s="6" t="str">
        <f>IF($I301="","",$I301-TODAY())</f>
        <v/>
      </c>
      <c r="K301" s="9" t="str">
        <f>IF($F301="","",IF(NOT(ISNUMBER($G301)),"Hors champ",IF($H301="","À renseigner",IF($J301&lt;0,"Dépassée",IF($J301&lt;=30,"À planifier","À jour")))))</f>
        <v/>
      </c>
      <c r="L301" s="5"/>
      <c r="M301" s="5"/>
      <c r="N301" s="5"/>
    </row>
    <row r="302" spans="1:14" x14ac:dyDescent="0.25">
      <c r="A302" s="5"/>
      <c r="B302" s="5"/>
      <c r="C302" s="5"/>
      <c r="D302" s="5"/>
      <c r="E302" s="5"/>
      <c r="F302" s="5"/>
      <c r="G302" s="6" t="str">
        <f>IF($F302="","",IF(ISNA(VLOOKUP($F302,'Référentiel VGP'!$A$2:$B$33,2,FALSE)),"",VLOOKUP($F302,'Référentiel VGP'!$A$2:$B$33,2,FALSE)))</f>
        <v/>
      </c>
      <c r="H302" s="7"/>
      <c r="I302" s="8" t="str">
        <f>IF(OR($H302="",NOT(ISNUMBER($G302))),"",MIN(DATE(YEAR($H302),MONTH($H302)+$G302,DAY($H302)),DATE(YEAR($H302),MONTH($H302)+$G302+1,0)))</f>
        <v/>
      </c>
      <c r="J302" s="6" t="str">
        <f>IF($I302="","",$I302-TODAY())</f>
        <v/>
      </c>
      <c r="K302" s="9" t="str">
        <f>IF($F302="","",IF(NOT(ISNUMBER($G302)),"Hors champ",IF($H302="","À renseigner",IF($J302&lt;0,"Dépassée",IF($J302&lt;=30,"À planifier","À jour")))))</f>
        <v/>
      </c>
      <c r="L302" s="5"/>
      <c r="M302" s="5"/>
      <c r="N302" s="5"/>
    </row>
    <row r="303" spans="1:14" x14ac:dyDescent="0.25">
      <c r="A303" s="5"/>
      <c r="B303" s="5"/>
      <c r="C303" s="5"/>
      <c r="D303" s="5"/>
      <c r="E303" s="5"/>
      <c r="F303" s="5"/>
      <c r="G303" s="6" t="str">
        <f>IF($F303="","",IF(ISNA(VLOOKUP($F303,'Référentiel VGP'!$A$2:$B$33,2,FALSE)),"",VLOOKUP($F303,'Référentiel VGP'!$A$2:$B$33,2,FALSE)))</f>
        <v/>
      </c>
      <c r="H303" s="7"/>
      <c r="I303" s="8" t="str">
        <f>IF(OR($H303="",NOT(ISNUMBER($G303))),"",MIN(DATE(YEAR($H303),MONTH($H303)+$G303,DAY($H303)),DATE(YEAR($H303),MONTH($H303)+$G303+1,0)))</f>
        <v/>
      </c>
      <c r="J303" s="6" t="str">
        <f>IF($I303="","",$I303-TODAY())</f>
        <v/>
      </c>
      <c r="K303" s="9" t="str">
        <f>IF($F303="","",IF(NOT(ISNUMBER($G303)),"Hors champ",IF($H303="","À renseigner",IF($J303&lt;0,"Dépassée",IF($J303&lt;=30,"À planifier","À jour")))))</f>
        <v/>
      </c>
      <c r="L303" s="5"/>
      <c r="M303" s="5"/>
      <c r="N303" s="5"/>
    </row>
    <row r="304" spans="1:14" x14ac:dyDescent="0.25">
      <c r="A304" s="5"/>
      <c r="B304" s="5"/>
      <c r="C304" s="5"/>
      <c r="D304" s="5"/>
      <c r="E304" s="5"/>
      <c r="F304" s="5"/>
      <c r="G304" s="6" t="str">
        <f>IF($F304="","",IF(ISNA(VLOOKUP($F304,'Référentiel VGP'!$A$2:$B$33,2,FALSE)),"",VLOOKUP($F304,'Référentiel VGP'!$A$2:$B$33,2,FALSE)))</f>
        <v/>
      </c>
      <c r="H304" s="7"/>
      <c r="I304" s="8" t="str">
        <f>IF(OR($H304="",NOT(ISNUMBER($G304))),"",MIN(DATE(YEAR($H304),MONTH($H304)+$G304,DAY($H304)),DATE(YEAR($H304),MONTH($H304)+$G304+1,0)))</f>
        <v/>
      </c>
      <c r="J304" s="6" t="str">
        <f>IF($I304="","",$I304-TODAY())</f>
        <v/>
      </c>
      <c r="K304" s="9" t="str">
        <f>IF($F304="","",IF(NOT(ISNUMBER($G304)),"Hors champ",IF($H304="","À renseigner",IF($J304&lt;0,"Dépassée",IF($J304&lt;=30,"À planifier","À jour")))))</f>
        <v/>
      </c>
      <c r="L304" s="5"/>
      <c r="M304" s="5"/>
      <c r="N304" s="5"/>
    </row>
    <row r="305" spans="1:14" x14ac:dyDescent="0.25">
      <c r="A305" s="5"/>
      <c r="B305" s="5"/>
      <c r="C305" s="5"/>
      <c r="D305" s="5"/>
      <c r="E305" s="5"/>
      <c r="F305" s="5"/>
      <c r="G305" s="6" t="str">
        <f>IF($F305="","",IF(ISNA(VLOOKUP($F305,'Référentiel VGP'!$A$2:$B$33,2,FALSE)),"",VLOOKUP($F305,'Référentiel VGP'!$A$2:$B$33,2,FALSE)))</f>
        <v/>
      </c>
      <c r="H305" s="7"/>
      <c r="I305" s="8" t="str">
        <f>IF(OR($H305="",NOT(ISNUMBER($G305))),"",MIN(DATE(YEAR($H305),MONTH($H305)+$G305,DAY($H305)),DATE(YEAR($H305),MONTH($H305)+$G305+1,0)))</f>
        <v/>
      </c>
      <c r="J305" s="6" t="str">
        <f>IF($I305="","",$I305-TODAY())</f>
        <v/>
      </c>
      <c r="K305" s="9" t="str">
        <f>IF($F305="","",IF(NOT(ISNUMBER($G305)),"Hors champ",IF($H305="","À renseigner",IF($J305&lt;0,"Dépassée",IF($J305&lt;=30,"À planifier","À jour")))))</f>
        <v/>
      </c>
      <c r="L305" s="5"/>
      <c r="M305" s="5"/>
      <c r="N305" s="5"/>
    </row>
    <row r="306" spans="1:14" x14ac:dyDescent="0.25">
      <c r="A306" s="5"/>
      <c r="B306" s="5"/>
      <c r="C306" s="5"/>
      <c r="D306" s="5"/>
      <c r="E306" s="5"/>
      <c r="F306" s="5"/>
      <c r="G306" s="6" t="str">
        <f>IF($F306="","",IF(ISNA(VLOOKUP($F306,'Référentiel VGP'!$A$2:$B$33,2,FALSE)),"",VLOOKUP($F306,'Référentiel VGP'!$A$2:$B$33,2,FALSE)))</f>
        <v/>
      </c>
      <c r="H306" s="7"/>
      <c r="I306" s="8" t="str">
        <f>IF(OR($H306="",NOT(ISNUMBER($G306))),"",MIN(DATE(YEAR($H306),MONTH($H306)+$G306,DAY($H306)),DATE(YEAR($H306),MONTH($H306)+$G306+1,0)))</f>
        <v/>
      </c>
      <c r="J306" s="6" t="str">
        <f>IF($I306="","",$I306-TODAY())</f>
        <v/>
      </c>
      <c r="K306" s="9" t="str">
        <f>IF($F306="","",IF(NOT(ISNUMBER($G306)),"Hors champ",IF($H306="","À renseigner",IF($J306&lt;0,"Dépassée",IF($J306&lt;=30,"À planifier","À jour")))))</f>
        <v/>
      </c>
      <c r="L306" s="5"/>
      <c r="M306" s="5"/>
      <c r="N306" s="5"/>
    </row>
    <row r="307" spans="1:14" x14ac:dyDescent="0.25">
      <c r="A307" s="5"/>
      <c r="B307" s="5"/>
      <c r="C307" s="5"/>
      <c r="D307" s="5"/>
      <c r="E307" s="5"/>
      <c r="F307" s="5"/>
      <c r="G307" s="6" t="str">
        <f>IF($F307="","",IF(ISNA(VLOOKUP($F307,'Référentiel VGP'!$A$2:$B$33,2,FALSE)),"",VLOOKUP($F307,'Référentiel VGP'!$A$2:$B$33,2,FALSE)))</f>
        <v/>
      </c>
      <c r="H307" s="7"/>
      <c r="I307" s="8" t="str">
        <f>IF(OR($H307="",NOT(ISNUMBER($G307))),"",MIN(DATE(YEAR($H307),MONTH($H307)+$G307,DAY($H307)),DATE(YEAR($H307),MONTH($H307)+$G307+1,0)))</f>
        <v/>
      </c>
      <c r="J307" s="6" t="str">
        <f>IF($I307="","",$I307-TODAY())</f>
        <v/>
      </c>
      <c r="K307" s="9" t="str">
        <f>IF($F307="","",IF(NOT(ISNUMBER($G307)),"Hors champ",IF($H307="","À renseigner",IF($J307&lt;0,"Dépassée",IF($J307&lt;=30,"À planifier","À jour")))))</f>
        <v/>
      </c>
      <c r="L307" s="5"/>
      <c r="M307" s="5"/>
      <c r="N307" s="5"/>
    </row>
    <row r="308" spans="1:14" x14ac:dyDescent="0.25">
      <c r="A308" s="5"/>
      <c r="B308" s="5"/>
      <c r="C308" s="5"/>
      <c r="D308" s="5"/>
      <c r="E308" s="5"/>
      <c r="F308" s="5"/>
      <c r="G308" s="6" t="str">
        <f>IF($F308="","",IF(ISNA(VLOOKUP($F308,'Référentiel VGP'!$A$2:$B$33,2,FALSE)),"",VLOOKUP($F308,'Référentiel VGP'!$A$2:$B$33,2,FALSE)))</f>
        <v/>
      </c>
      <c r="H308" s="7"/>
      <c r="I308" s="8" t="str">
        <f>IF(OR($H308="",NOT(ISNUMBER($G308))),"",MIN(DATE(YEAR($H308),MONTH($H308)+$G308,DAY($H308)),DATE(YEAR($H308),MONTH($H308)+$G308+1,0)))</f>
        <v/>
      </c>
      <c r="J308" s="6" t="str">
        <f>IF($I308="","",$I308-TODAY())</f>
        <v/>
      </c>
      <c r="K308" s="9" t="str">
        <f>IF($F308="","",IF(NOT(ISNUMBER($G308)),"Hors champ",IF($H308="","À renseigner",IF($J308&lt;0,"Dépassée",IF($J308&lt;=30,"À planifier","À jour")))))</f>
        <v/>
      </c>
      <c r="L308" s="5"/>
      <c r="M308" s="5"/>
      <c r="N308" s="5"/>
    </row>
    <row r="309" spans="1:14" x14ac:dyDescent="0.25">
      <c r="A309" s="5"/>
      <c r="B309" s="5"/>
      <c r="C309" s="5"/>
      <c r="D309" s="5"/>
      <c r="E309" s="5"/>
      <c r="F309" s="5"/>
      <c r="G309" s="6" t="str">
        <f>IF($F309="","",IF(ISNA(VLOOKUP($F309,'Référentiel VGP'!$A$2:$B$33,2,FALSE)),"",VLOOKUP($F309,'Référentiel VGP'!$A$2:$B$33,2,FALSE)))</f>
        <v/>
      </c>
      <c r="H309" s="7"/>
      <c r="I309" s="8" t="str">
        <f>IF(OR($H309="",NOT(ISNUMBER($G309))),"",MIN(DATE(YEAR($H309),MONTH($H309)+$G309,DAY($H309)),DATE(YEAR($H309),MONTH($H309)+$G309+1,0)))</f>
        <v/>
      </c>
      <c r="J309" s="6" t="str">
        <f>IF($I309="","",$I309-TODAY())</f>
        <v/>
      </c>
      <c r="K309" s="9" t="str">
        <f>IF($F309="","",IF(NOT(ISNUMBER($G309)),"Hors champ",IF($H309="","À renseigner",IF($J309&lt;0,"Dépassée",IF($J309&lt;=30,"À planifier","À jour")))))</f>
        <v/>
      </c>
      <c r="L309" s="5"/>
      <c r="M309" s="5"/>
      <c r="N309" s="5"/>
    </row>
    <row r="310" spans="1:14" x14ac:dyDescent="0.25">
      <c r="A310" s="5"/>
      <c r="B310" s="5"/>
      <c r="C310" s="5"/>
      <c r="D310" s="5"/>
      <c r="E310" s="5"/>
      <c r="F310" s="5"/>
      <c r="G310" s="6" t="str">
        <f>IF($F310="","",IF(ISNA(VLOOKUP($F310,'Référentiel VGP'!$A$2:$B$33,2,FALSE)),"",VLOOKUP($F310,'Référentiel VGP'!$A$2:$B$33,2,FALSE)))</f>
        <v/>
      </c>
      <c r="H310" s="7"/>
      <c r="I310" s="8" t="str">
        <f>IF(OR($H310="",NOT(ISNUMBER($G310))),"",MIN(DATE(YEAR($H310),MONTH($H310)+$G310,DAY($H310)),DATE(YEAR($H310),MONTH($H310)+$G310+1,0)))</f>
        <v/>
      </c>
      <c r="J310" s="6" t="str">
        <f>IF($I310="","",$I310-TODAY())</f>
        <v/>
      </c>
      <c r="K310" s="9" t="str">
        <f>IF($F310="","",IF(NOT(ISNUMBER($G310)),"Hors champ",IF($H310="","À renseigner",IF($J310&lt;0,"Dépassée",IF($J310&lt;=30,"À planifier","À jour")))))</f>
        <v/>
      </c>
      <c r="L310" s="5"/>
      <c r="M310" s="5"/>
      <c r="N310" s="5"/>
    </row>
    <row r="311" spans="1:14" x14ac:dyDescent="0.25">
      <c r="A311" s="5"/>
      <c r="B311" s="5"/>
      <c r="C311" s="5"/>
      <c r="D311" s="5"/>
      <c r="E311" s="5"/>
      <c r="F311" s="5"/>
      <c r="G311" s="6" t="str">
        <f>IF($F311="","",IF(ISNA(VLOOKUP($F311,'Référentiel VGP'!$A$2:$B$33,2,FALSE)),"",VLOOKUP($F311,'Référentiel VGP'!$A$2:$B$33,2,FALSE)))</f>
        <v/>
      </c>
      <c r="H311" s="7"/>
      <c r="I311" s="8" t="str">
        <f>IF(OR($H311="",NOT(ISNUMBER($G311))),"",MIN(DATE(YEAR($H311),MONTH($H311)+$G311,DAY($H311)),DATE(YEAR($H311),MONTH($H311)+$G311+1,0)))</f>
        <v/>
      </c>
      <c r="J311" s="6" t="str">
        <f>IF($I311="","",$I311-TODAY())</f>
        <v/>
      </c>
      <c r="K311" s="9" t="str">
        <f>IF($F311="","",IF(NOT(ISNUMBER($G311)),"Hors champ",IF($H311="","À renseigner",IF($J311&lt;0,"Dépassée",IF($J311&lt;=30,"À planifier","À jour")))))</f>
        <v/>
      </c>
      <c r="L311" s="5"/>
      <c r="M311" s="5"/>
      <c r="N311" s="5"/>
    </row>
    <row r="312" spans="1:14" x14ac:dyDescent="0.25">
      <c r="A312" s="5"/>
      <c r="B312" s="5"/>
      <c r="C312" s="5"/>
      <c r="D312" s="5"/>
      <c r="E312" s="5"/>
      <c r="F312" s="5"/>
      <c r="G312" s="6" t="str">
        <f>IF($F312="","",IF(ISNA(VLOOKUP($F312,'Référentiel VGP'!$A$2:$B$33,2,FALSE)),"",VLOOKUP($F312,'Référentiel VGP'!$A$2:$B$33,2,FALSE)))</f>
        <v/>
      </c>
      <c r="H312" s="7"/>
      <c r="I312" s="8" t="str">
        <f>IF(OR($H312="",NOT(ISNUMBER($G312))),"",MIN(DATE(YEAR($H312),MONTH($H312)+$G312,DAY($H312)),DATE(YEAR($H312),MONTH($H312)+$G312+1,0)))</f>
        <v/>
      </c>
      <c r="J312" s="6" t="str">
        <f>IF($I312="","",$I312-TODAY())</f>
        <v/>
      </c>
      <c r="K312" s="9" t="str">
        <f>IF($F312="","",IF(NOT(ISNUMBER($G312)),"Hors champ",IF($H312="","À renseigner",IF($J312&lt;0,"Dépassée",IF($J312&lt;=30,"À planifier","À jour")))))</f>
        <v/>
      </c>
      <c r="L312" s="5"/>
      <c r="M312" s="5"/>
      <c r="N312" s="5"/>
    </row>
    <row r="313" spans="1:14" x14ac:dyDescent="0.25">
      <c r="A313" s="5"/>
      <c r="B313" s="5"/>
      <c r="C313" s="5"/>
      <c r="D313" s="5"/>
      <c r="E313" s="5"/>
      <c r="F313" s="5"/>
      <c r="G313" s="6" t="str">
        <f>IF($F313="","",IF(ISNA(VLOOKUP($F313,'Référentiel VGP'!$A$2:$B$33,2,FALSE)),"",VLOOKUP($F313,'Référentiel VGP'!$A$2:$B$33,2,FALSE)))</f>
        <v/>
      </c>
      <c r="H313" s="7"/>
      <c r="I313" s="8" t="str">
        <f>IF(OR($H313="",NOT(ISNUMBER($G313))),"",MIN(DATE(YEAR($H313),MONTH($H313)+$G313,DAY($H313)),DATE(YEAR($H313),MONTH($H313)+$G313+1,0)))</f>
        <v/>
      </c>
      <c r="J313" s="6" t="str">
        <f>IF($I313="","",$I313-TODAY())</f>
        <v/>
      </c>
      <c r="K313" s="9" t="str">
        <f>IF($F313="","",IF(NOT(ISNUMBER($G313)),"Hors champ",IF($H313="","À renseigner",IF($J313&lt;0,"Dépassée",IF($J313&lt;=30,"À planifier","À jour")))))</f>
        <v/>
      </c>
      <c r="L313" s="5"/>
      <c r="M313" s="5"/>
      <c r="N313" s="5"/>
    </row>
    <row r="314" spans="1:14" x14ac:dyDescent="0.25">
      <c r="A314" s="5"/>
      <c r="B314" s="5"/>
      <c r="C314" s="5"/>
      <c r="D314" s="5"/>
      <c r="E314" s="5"/>
      <c r="F314" s="5"/>
      <c r="G314" s="6" t="str">
        <f>IF($F314="","",IF(ISNA(VLOOKUP($F314,'Référentiel VGP'!$A$2:$B$33,2,FALSE)),"",VLOOKUP($F314,'Référentiel VGP'!$A$2:$B$33,2,FALSE)))</f>
        <v/>
      </c>
      <c r="H314" s="7"/>
      <c r="I314" s="8" t="str">
        <f>IF(OR($H314="",NOT(ISNUMBER($G314))),"",MIN(DATE(YEAR($H314),MONTH($H314)+$G314,DAY($H314)),DATE(YEAR($H314),MONTH($H314)+$G314+1,0)))</f>
        <v/>
      </c>
      <c r="J314" s="6" t="str">
        <f>IF($I314="","",$I314-TODAY())</f>
        <v/>
      </c>
      <c r="K314" s="9" t="str">
        <f>IF($F314="","",IF(NOT(ISNUMBER($G314)),"Hors champ",IF($H314="","À renseigner",IF($J314&lt;0,"Dépassée",IF($J314&lt;=30,"À planifier","À jour")))))</f>
        <v/>
      </c>
      <c r="L314" s="5"/>
      <c r="M314" s="5"/>
      <c r="N314" s="5"/>
    </row>
    <row r="315" spans="1:14" x14ac:dyDescent="0.25">
      <c r="A315" s="5"/>
      <c r="B315" s="5"/>
      <c r="C315" s="5"/>
      <c r="D315" s="5"/>
      <c r="E315" s="5"/>
      <c r="F315" s="5"/>
      <c r="G315" s="6" t="str">
        <f>IF($F315="","",IF(ISNA(VLOOKUP($F315,'Référentiel VGP'!$A$2:$B$33,2,FALSE)),"",VLOOKUP($F315,'Référentiel VGP'!$A$2:$B$33,2,FALSE)))</f>
        <v/>
      </c>
      <c r="H315" s="7"/>
      <c r="I315" s="8" t="str">
        <f>IF(OR($H315="",NOT(ISNUMBER($G315))),"",MIN(DATE(YEAR($H315),MONTH($H315)+$G315,DAY($H315)),DATE(YEAR($H315),MONTH($H315)+$G315+1,0)))</f>
        <v/>
      </c>
      <c r="J315" s="6" t="str">
        <f>IF($I315="","",$I315-TODAY())</f>
        <v/>
      </c>
      <c r="K315" s="9" t="str">
        <f>IF($F315="","",IF(NOT(ISNUMBER($G315)),"Hors champ",IF($H315="","À renseigner",IF($J315&lt;0,"Dépassée",IF($J315&lt;=30,"À planifier","À jour")))))</f>
        <v/>
      </c>
      <c r="L315" s="5"/>
      <c r="M315" s="5"/>
      <c r="N315" s="5"/>
    </row>
    <row r="316" spans="1:14" x14ac:dyDescent="0.25">
      <c r="A316" s="5"/>
      <c r="B316" s="5"/>
      <c r="C316" s="5"/>
      <c r="D316" s="5"/>
      <c r="E316" s="5"/>
      <c r="F316" s="5"/>
      <c r="G316" s="6" t="str">
        <f>IF($F316="","",IF(ISNA(VLOOKUP($F316,'Référentiel VGP'!$A$2:$B$33,2,FALSE)),"",VLOOKUP($F316,'Référentiel VGP'!$A$2:$B$33,2,FALSE)))</f>
        <v/>
      </c>
      <c r="H316" s="7"/>
      <c r="I316" s="8" t="str">
        <f>IF(OR($H316="",NOT(ISNUMBER($G316))),"",MIN(DATE(YEAR($H316),MONTH($H316)+$G316,DAY($H316)),DATE(YEAR($H316),MONTH($H316)+$G316+1,0)))</f>
        <v/>
      </c>
      <c r="J316" s="6" t="str">
        <f>IF($I316="","",$I316-TODAY())</f>
        <v/>
      </c>
      <c r="K316" s="9" t="str">
        <f>IF($F316="","",IF(NOT(ISNUMBER($G316)),"Hors champ",IF($H316="","À renseigner",IF($J316&lt;0,"Dépassée",IF($J316&lt;=30,"À planifier","À jour")))))</f>
        <v/>
      </c>
      <c r="L316" s="5"/>
      <c r="M316" s="5"/>
      <c r="N316" s="5"/>
    </row>
    <row r="317" spans="1:14" x14ac:dyDescent="0.25">
      <c r="A317" s="5"/>
      <c r="B317" s="5"/>
      <c r="C317" s="5"/>
      <c r="D317" s="5"/>
      <c r="E317" s="5"/>
      <c r="F317" s="5"/>
      <c r="G317" s="6" t="str">
        <f>IF($F317="","",IF(ISNA(VLOOKUP($F317,'Référentiel VGP'!$A$2:$B$33,2,FALSE)),"",VLOOKUP($F317,'Référentiel VGP'!$A$2:$B$33,2,FALSE)))</f>
        <v/>
      </c>
      <c r="H317" s="7"/>
      <c r="I317" s="8" t="str">
        <f>IF(OR($H317="",NOT(ISNUMBER($G317))),"",MIN(DATE(YEAR($H317),MONTH($H317)+$G317,DAY($H317)),DATE(YEAR($H317),MONTH($H317)+$G317+1,0)))</f>
        <v/>
      </c>
      <c r="J317" s="6" t="str">
        <f>IF($I317="","",$I317-TODAY())</f>
        <v/>
      </c>
      <c r="K317" s="9" t="str">
        <f>IF($F317="","",IF(NOT(ISNUMBER($G317)),"Hors champ",IF($H317="","À renseigner",IF($J317&lt;0,"Dépassée",IF($J317&lt;=30,"À planifier","À jour")))))</f>
        <v/>
      </c>
      <c r="L317" s="5"/>
      <c r="M317" s="5"/>
      <c r="N317" s="5"/>
    </row>
    <row r="318" spans="1:14" x14ac:dyDescent="0.25">
      <c r="A318" s="5"/>
      <c r="B318" s="5"/>
      <c r="C318" s="5"/>
      <c r="D318" s="5"/>
      <c r="E318" s="5"/>
      <c r="F318" s="5"/>
      <c r="G318" s="6" t="str">
        <f>IF($F318="","",IF(ISNA(VLOOKUP($F318,'Référentiel VGP'!$A$2:$B$33,2,FALSE)),"",VLOOKUP($F318,'Référentiel VGP'!$A$2:$B$33,2,FALSE)))</f>
        <v/>
      </c>
      <c r="H318" s="7"/>
      <c r="I318" s="8" t="str">
        <f>IF(OR($H318="",NOT(ISNUMBER($G318))),"",MIN(DATE(YEAR($H318),MONTH($H318)+$G318,DAY($H318)),DATE(YEAR($H318),MONTH($H318)+$G318+1,0)))</f>
        <v/>
      </c>
      <c r="J318" s="6" t="str">
        <f>IF($I318="","",$I318-TODAY())</f>
        <v/>
      </c>
      <c r="K318" s="9" t="str">
        <f>IF($F318="","",IF(NOT(ISNUMBER($G318)),"Hors champ",IF($H318="","À renseigner",IF($J318&lt;0,"Dépassée",IF($J318&lt;=30,"À planifier","À jour")))))</f>
        <v/>
      </c>
      <c r="L318" s="5"/>
      <c r="M318" s="5"/>
      <c r="N318" s="5"/>
    </row>
    <row r="319" spans="1:14" x14ac:dyDescent="0.25">
      <c r="A319" s="5"/>
      <c r="B319" s="5"/>
      <c r="C319" s="5"/>
      <c r="D319" s="5"/>
      <c r="E319" s="5"/>
      <c r="F319" s="5"/>
      <c r="G319" s="6" t="str">
        <f>IF($F319="","",IF(ISNA(VLOOKUP($F319,'Référentiel VGP'!$A$2:$B$33,2,FALSE)),"",VLOOKUP($F319,'Référentiel VGP'!$A$2:$B$33,2,FALSE)))</f>
        <v/>
      </c>
      <c r="H319" s="7"/>
      <c r="I319" s="8" t="str">
        <f>IF(OR($H319="",NOT(ISNUMBER($G319))),"",MIN(DATE(YEAR($H319),MONTH($H319)+$G319,DAY($H319)),DATE(YEAR($H319),MONTH($H319)+$G319+1,0)))</f>
        <v/>
      </c>
      <c r="J319" s="6" t="str">
        <f>IF($I319="","",$I319-TODAY())</f>
        <v/>
      </c>
      <c r="K319" s="9" t="str">
        <f>IF($F319="","",IF(NOT(ISNUMBER($G319)),"Hors champ",IF($H319="","À renseigner",IF($J319&lt;0,"Dépassée",IF($J319&lt;=30,"À planifier","À jour")))))</f>
        <v/>
      </c>
      <c r="L319" s="5"/>
      <c r="M319" s="5"/>
      <c r="N319" s="5"/>
    </row>
    <row r="320" spans="1:14" x14ac:dyDescent="0.25">
      <c r="A320" s="5"/>
      <c r="B320" s="5"/>
      <c r="C320" s="5"/>
      <c r="D320" s="5"/>
      <c r="E320" s="5"/>
      <c r="F320" s="5"/>
      <c r="G320" s="6" t="str">
        <f>IF($F320="","",IF(ISNA(VLOOKUP($F320,'Référentiel VGP'!$A$2:$B$33,2,FALSE)),"",VLOOKUP($F320,'Référentiel VGP'!$A$2:$B$33,2,FALSE)))</f>
        <v/>
      </c>
      <c r="H320" s="7"/>
      <c r="I320" s="8" t="str">
        <f>IF(OR($H320="",NOT(ISNUMBER($G320))),"",MIN(DATE(YEAR($H320),MONTH($H320)+$G320,DAY($H320)),DATE(YEAR($H320),MONTH($H320)+$G320+1,0)))</f>
        <v/>
      </c>
      <c r="J320" s="6" t="str">
        <f>IF($I320="","",$I320-TODAY())</f>
        <v/>
      </c>
      <c r="K320" s="9" t="str">
        <f>IF($F320="","",IF(NOT(ISNUMBER($G320)),"Hors champ",IF($H320="","À renseigner",IF($J320&lt;0,"Dépassée",IF($J320&lt;=30,"À planifier","À jour")))))</f>
        <v/>
      </c>
      <c r="L320" s="5"/>
      <c r="M320" s="5"/>
      <c r="N320" s="5"/>
    </row>
    <row r="321" spans="1:14" x14ac:dyDescent="0.25">
      <c r="A321" s="5"/>
      <c r="B321" s="5"/>
      <c r="C321" s="5"/>
      <c r="D321" s="5"/>
      <c r="E321" s="5"/>
      <c r="F321" s="5"/>
      <c r="G321" s="6" t="str">
        <f>IF($F321="","",IF(ISNA(VLOOKUP($F321,'Référentiel VGP'!$A$2:$B$33,2,FALSE)),"",VLOOKUP($F321,'Référentiel VGP'!$A$2:$B$33,2,FALSE)))</f>
        <v/>
      </c>
      <c r="H321" s="7"/>
      <c r="I321" s="8" t="str">
        <f>IF(OR($H321="",NOT(ISNUMBER($G321))),"",MIN(DATE(YEAR($H321),MONTH($H321)+$G321,DAY($H321)),DATE(YEAR($H321),MONTH($H321)+$G321+1,0)))</f>
        <v/>
      </c>
      <c r="J321" s="6" t="str">
        <f>IF($I321="","",$I321-TODAY())</f>
        <v/>
      </c>
      <c r="K321" s="9" t="str">
        <f>IF($F321="","",IF(NOT(ISNUMBER($G321)),"Hors champ",IF($H321="","À renseigner",IF($J321&lt;0,"Dépassée",IF($J321&lt;=30,"À planifier","À jour")))))</f>
        <v/>
      </c>
      <c r="L321" s="5"/>
      <c r="M321" s="5"/>
      <c r="N321" s="5"/>
    </row>
    <row r="322" spans="1:14" x14ac:dyDescent="0.25">
      <c r="A322" s="5"/>
      <c r="B322" s="5"/>
      <c r="C322" s="5"/>
      <c r="D322" s="5"/>
      <c r="E322" s="5"/>
      <c r="F322" s="5"/>
      <c r="G322" s="6" t="str">
        <f>IF($F322="","",IF(ISNA(VLOOKUP($F322,'Référentiel VGP'!$A$2:$B$33,2,FALSE)),"",VLOOKUP($F322,'Référentiel VGP'!$A$2:$B$33,2,FALSE)))</f>
        <v/>
      </c>
      <c r="H322" s="7"/>
      <c r="I322" s="8" t="str">
        <f>IF(OR($H322="",NOT(ISNUMBER($G322))),"",MIN(DATE(YEAR($H322),MONTH($H322)+$G322,DAY($H322)),DATE(YEAR($H322),MONTH($H322)+$G322+1,0)))</f>
        <v/>
      </c>
      <c r="J322" s="6" t="str">
        <f>IF($I322="","",$I322-TODAY())</f>
        <v/>
      </c>
      <c r="K322" s="9" t="str">
        <f>IF($F322="","",IF(NOT(ISNUMBER($G322)),"Hors champ",IF($H322="","À renseigner",IF($J322&lt;0,"Dépassée",IF($J322&lt;=30,"À planifier","À jour")))))</f>
        <v/>
      </c>
      <c r="L322" s="5"/>
      <c r="M322" s="5"/>
      <c r="N322" s="5"/>
    </row>
    <row r="323" spans="1:14" x14ac:dyDescent="0.25">
      <c r="A323" s="5"/>
      <c r="B323" s="5"/>
      <c r="C323" s="5"/>
      <c r="D323" s="5"/>
      <c r="E323" s="5"/>
      <c r="F323" s="5"/>
      <c r="G323" s="6" t="str">
        <f>IF($F323="","",IF(ISNA(VLOOKUP($F323,'Référentiel VGP'!$A$2:$B$33,2,FALSE)),"",VLOOKUP($F323,'Référentiel VGP'!$A$2:$B$33,2,FALSE)))</f>
        <v/>
      </c>
      <c r="H323" s="7"/>
      <c r="I323" s="8" t="str">
        <f>IF(OR($H323="",NOT(ISNUMBER($G323))),"",MIN(DATE(YEAR($H323),MONTH($H323)+$G323,DAY($H323)),DATE(YEAR($H323),MONTH($H323)+$G323+1,0)))</f>
        <v/>
      </c>
      <c r="J323" s="6" t="str">
        <f>IF($I323="","",$I323-TODAY())</f>
        <v/>
      </c>
      <c r="K323" s="9" t="str">
        <f>IF($F323="","",IF(NOT(ISNUMBER($G323)),"Hors champ",IF($H323="","À renseigner",IF($J323&lt;0,"Dépassée",IF($J323&lt;=30,"À planifier","À jour")))))</f>
        <v/>
      </c>
      <c r="L323" s="5"/>
      <c r="M323" s="5"/>
      <c r="N323" s="5"/>
    </row>
    <row r="324" spans="1:14" x14ac:dyDescent="0.25">
      <c r="A324" s="5"/>
      <c r="B324" s="5"/>
      <c r="C324" s="5"/>
      <c r="D324" s="5"/>
      <c r="E324" s="5"/>
      <c r="F324" s="5"/>
      <c r="G324" s="6" t="str">
        <f>IF($F324="","",IF(ISNA(VLOOKUP($F324,'Référentiel VGP'!$A$2:$B$33,2,FALSE)),"",VLOOKUP($F324,'Référentiel VGP'!$A$2:$B$33,2,FALSE)))</f>
        <v/>
      </c>
      <c r="H324" s="7"/>
      <c r="I324" s="8" t="str">
        <f>IF(OR($H324="",NOT(ISNUMBER($G324))),"",MIN(DATE(YEAR($H324),MONTH($H324)+$G324,DAY($H324)),DATE(YEAR($H324),MONTH($H324)+$G324+1,0)))</f>
        <v/>
      </c>
      <c r="J324" s="6" t="str">
        <f>IF($I324="","",$I324-TODAY())</f>
        <v/>
      </c>
      <c r="K324" s="9" t="str">
        <f>IF($F324="","",IF(NOT(ISNUMBER($G324)),"Hors champ",IF($H324="","À renseigner",IF($J324&lt;0,"Dépassée",IF($J324&lt;=30,"À planifier","À jour")))))</f>
        <v/>
      </c>
      <c r="L324" s="5"/>
      <c r="M324" s="5"/>
      <c r="N324" s="5"/>
    </row>
    <row r="325" spans="1:14" x14ac:dyDescent="0.25">
      <c r="A325" s="5"/>
      <c r="B325" s="5"/>
      <c r="C325" s="5"/>
      <c r="D325" s="5"/>
      <c r="E325" s="5"/>
      <c r="F325" s="5"/>
      <c r="G325" s="6" t="str">
        <f>IF($F325="","",IF(ISNA(VLOOKUP($F325,'Référentiel VGP'!$A$2:$B$33,2,FALSE)),"",VLOOKUP($F325,'Référentiel VGP'!$A$2:$B$33,2,FALSE)))</f>
        <v/>
      </c>
      <c r="H325" s="7"/>
      <c r="I325" s="8" t="str">
        <f>IF(OR($H325="",NOT(ISNUMBER($G325))),"",MIN(DATE(YEAR($H325),MONTH($H325)+$G325,DAY($H325)),DATE(YEAR($H325),MONTH($H325)+$G325+1,0)))</f>
        <v/>
      </c>
      <c r="J325" s="6" t="str">
        <f>IF($I325="","",$I325-TODAY())</f>
        <v/>
      </c>
      <c r="K325" s="9" t="str">
        <f>IF($F325="","",IF(NOT(ISNUMBER($G325)),"Hors champ",IF($H325="","À renseigner",IF($J325&lt;0,"Dépassée",IF($J325&lt;=30,"À planifier","À jour")))))</f>
        <v/>
      </c>
      <c r="L325" s="5"/>
      <c r="M325" s="5"/>
      <c r="N325" s="5"/>
    </row>
    <row r="326" spans="1:14" x14ac:dyDescent="0.25">
      <c r="A326" s="5"/>
      <c r="B326" s="5"/>
      <c r="C326" s="5"/>
      <c r="D326" s="5"/>
      <c r="E326" s="5"/>
      <c r="F326" s="5"/>
      <c r="G326" s="6" t="str">
        <f>IF($F326="","",IF(ISNA(VLOOKUP($F326,'Référentiel VGP'!$A$2:$B$33,2,FALSE)),"",VLOOKUP($F326,'Référentiel VGP'!$A$2:$B$33,2,FALSE)))</f>
        <v/>
      </c>
      <c r="H326" s="7"/>
      <c r="I326" s="8" t="str">
        <f>IF(OR($H326="",NOT(ISNUMBER($G326))),"",MIN(DATE(YEAR($H326),MONTH($H326)+$G326,DAY($H326)),DATE(YEAR($H326),MONTH($H326)+$G326+1,0)))</f>
        <v/>
      </c>
      <c r="J326" s="6" t="str">
        <f>IF($I326="","",$I326-TODAY())</f>
        <v/>
      </c>
      <c r="K326" s="9" t="str">
        <f>IF($F326="","",IF(NOT(ISNUMBER($G326)),"Hors champ",IF($H326="","À renseigner",IF($J326&lt;0,"Dépassée",IF($J326&lt;=30,"À planifier","À jour")))))</f>
        <v/>
      </c>
      <c r="L326" s="5"/>
      <c r="M326" s="5"/>
      <c r="N326" s="5"/>
    </row>
    <row r="327" spans="1:14" x14ac:dyDescent="0.25">
      <c r="A327" s="5"/>
      <c r="B327" s="5"/>
      <c r="C327" s="5"/>
      <c r="D327" s="5"/>
      <c r="E327" s="5"/>
      <c r="F327" s="5"/>
      <c r="G327" s="6" t="str">
        <f>IF($F327="","",IF(ISNA(VLOOKUP($F327,'Référentiel VGP'!$A$2:$B$33,2,FALSE)),"",VLOOKUP($F327,'Référentiel VGP'!$A$2:$B$33,2,FALSE)))</f>
        <v/>
      </c>
      <c r="H327" s="7"/>
      <c r="I327" s="8" t="str">
        <f>IF(OR($H327="",NOT(ISNUMBER($G327))),"",MIN(DATE(YEAR($H327),MONTH($H327)+$G327,DAY($H327)),DATE(YEAR($H327),MONTH($H327)+$G327+1,0)))</f>
        <v/>
      </c>
      <c r="J327" s="6" t="str">
        <f>IF($I327="","",$I327-TODAY())</f>
        <v/>
      </c>
      <c r="K327" s="9" t="str">
        <f>IF($F327="","",IF(NOT(ISNUMBER($G327)),"Hors champ",IF($H327="","À renseigner",IF($J327&lt;0,"Dépassée",IF($J327&lt;=30,"À planifier","À jour")))))</f>
        <v/>
      </c>
      <c r="L327" s="5"/>
      <c r="M327" s="5"/>
      <c r="N327" s="5"/>
    </row>
    <row r="328" spans="1:14" x14ac:dyDescent="0.25">
      <c r="A328" s="5"/>
      <c r="B328" s="5"/>
      <c r="C328" s="5"/>
      <c r="D328" s="5"/>
      <c r="E328" s="5"/>
      <c r="F328" s="5"/>
      <c r="G328" s="6" t="str">
        <f>IF($F328="","",IF(ISNA(VLOOKUP($F328,'Référentiel VGP'!$A$2:$B$33,2,FALSE)),"",VLOOKUP($F328,'Référentiel VGP'!$A$2:$B$33,2,FALSE)))</f>
        <v/>
      </c>
      <c r="H328" s="7"/>
      <c r="I328" s="8" t="str">
        <f>IF(OR($H328="",NOT(ISNUMBER($G328))),"",MIN(DATE(YEAR($H328),MONTH($H328)+$G328,DAY($H328)),DATE(YEAR($H328),MONTH($H328)+$G328+1,0)))</f>
        <v/>
      </c>
      <c r="J328" s="6" t="str">
        <f>IF($I328="","",$I328-TODAY())</f>
        <v/>
      </c>
      <c r="K328" s="9" t="str">
        <f>IF($F328="","",IF(NOT(ISNUMBER($G328)),"Hors champ",IF($H328="","À renseigner",IF($J328&lt;0,"Dépassée",IF($J328&lt;=30,"À planifier","À jour")))))</f>
        <v/>
      </c>
      <c r="L328" s="5"/>
      <c r="M328" s="5"/>
      <c r="N328" s="5"/>
    </row>
    <row r="329" spans="1:14" x14ac:dyDescent="0.25">
      <c r="A329" s="5"/>
      <c r="B329" s="5"/>
      <c r="C329" s="5"/>
      <c r="D329" s="5"/>
      <c r="E329" s="5"/>
      <c r="F329" s="5"/>
      <c r="G329" s="6" t="str">
        <f>IF($F329="","",IF(ISNA(VLOOKUP($F329,'Référentiel VGP'!$A$2:$B$33,2,FALSE)),"",VLOOKUP($F329,'Référentiel VGP'!$A$2:$B$33,2,FALSE)))</f>
        <v/>
      </c>
      <c r="H329" s="7"/>
      <c r="I329" s="8" t="str">
        <f>IF(OR($H329="",NOT(ISNUMBER($G329))),"",MIN(DATE(YEAR($H329),MONTH($H329)+$G329,DAY($H329)),DATE(YEAR($H329),MONTH($H329)+$G329+1,0)))</f>
        <v/>
      </c>
      <c r="J329" s="6" t="str">
        <f>IF($I329="","",$I329-TODAY())</f>
        <v/>
      </c>
      <c r="K329" s="9" t="str">
        <f>IF($F329="","",IF(NOT(ISNUMBER($G329)),"Hors champ",IF($H329="","À renseigner",IF($J329&lt;0,"Dépassée",IF($J329&lt;=30,"À planifier","À jour")))))</f>
        <v/>
      </c>
      <c r="L329" s="5"/>
      <c r="M329" s="5"/>
      <c r="N329" s="5"/>
    </row>
    <row r="330" spans="1:14" x14ac:dyDescent="0.25">
      <c r="A330" s="5"/>
      <c r="B330" s="5"/>
      <c r="C330" s="5"/>
      <c r="D330" s="5"/>
      <c r="E330" s="5"/>
      <c r="F330" s="5"/>
      <c r="G330" s="6" t="str">
        <f>IF($F330="","",IF(ISNA(VLOOKUP($F330,'Référentiel VGP'!$A$2:$B$33,2,FALSE)),"",VLOOKUP($F330,'Référentiel VGP'!$A$2:$B$33,2,FALSE)))</f>
        <v/>
      </c>
      <c r="H330" s="7"/>
      <c r="I330" s="8" t="str">
        <f>IF(OR($H330="",NOT(ISNUMBER($G330))),"",MIN(DATE(YEAR($H330),MONTH($H330)+$G330,DAY($H330)),DATE(YEAR($H330),MONTH($H330)+$G330+1,0)))</f>
        <v/>
      </c>
      <c r="J330" s="6" t="str">
        <f>IF($I330="","",$I330-TODAY())</f>
        <v/>
      </c>
      <c r="K330" s="9" t="str">
        <f>IF($F330="","",IF(NOT(ISNUMBER($G330)),"Hors champ",IF($H330="","À renseigner",IF($J330&lt;0,"Dépassée",IF($J330&lt;=30,"À planifier","À jour")))))</f>
        <v/>
      </c>
      <c r="L330" s="5"/>
      <c r="M330" s="5"/>
      <c r="N330" s="5"/>
    </row>
    <row r="331" spans="1:14" x14ac:dyDescent="0.25">
      <c r="A331" s="5"/>
      <c r="B331" s="5"/>
      <c r="C331" s="5"/>
      <c r="D331" s="5"/>
      <c r="E331" s="5"/>
      <c r="F331" s="5"/>
      <c r="G331" s="6" t="str">
        <f>IF($F331="","",IF(ISNA(VLOOKUP($F331,'Référentiel VGP'!$A$2:$B$33,2,FALSE)),"",VLOOKUP($F331,'Référentiel VGP'!$A$2:$B$33,2,FALSE)))</f>
        <v/>
      </c>
      <c r="H331" s="7"/>
      <c r="I331" s="8" t="str">
        <f>IF(OR($H331="",NOT(ISNUMBER($G331))),"",MIN(DATE(YEAR($H331),MONTH($H331)+$G331,DAY($H331)),DATE(YEAR($H331),MONTH($H331)+$G331+1,0)))</f>
        <v/>
      </c>
      <c r="J331" s="6" t="str">
        <f>IF($I331="","",$I331-TODAY())</f>
        <v/>
      </c>
      <c r="K331" s="9" t="str">
        <f>IF($F331="","",IF(NOT(ISNUMBER($G331)),"Hors champ",IF($H331="","À renseigner",IF($J331&lt;0,"Dépassée",IF($J331&lt;=30,"À planifier","À jour")))))</f>
        <v/>
      </c>
      <c r="L331" s="5"/>
      <c r="M331" s="5"/>
      <c r="N331" s="5"/>
    </row>
    <row r="332" spans="1:14" x14ac:dyDescent="0.25">
      <c r="A332" s="5"/>
      <c r="B332" s="5"/>
      <c r="C332" s="5"/>
      <c r="D332" s="5"/>
      <c r="E332" s="5"/>
      <c r="F332" s="5"/>
      <c r="G332" s="6" t="str">
        <f>IF($F332="","",IF(ISNA(VLOOKUP($F332,'Référentiel VGP'!$A$2:$B$33,2,FALSE)),"",VLOOKUP($F332,'Référentiel VGP'!$A$2:$B$33,2,FALSE)))</f>
        <v/>
      </c>
      <c r="H332" s="7"/>
      <c r="I332" s="8" t="str">
        <f>IF(OR($H332="",NOT(ISNUMBER($G332))),"",MIN(DATE(YEAR($H332),MONTH($H332)+$G332,DAY($H332)),DATE(YEAR($H332),MONTH($H332)+$G332+1,0)))</f>
        <v/>
      </c>
      <c r="J332" s="6" t="str">
        <f>IF($I332="","",$I332-TODAY())</f>
        <v/>
      </c>
      <c r="K332" s="9" t="str">
        <f>IF($F332="","",IF(NOT(ISNUMBER($G332)),"Hors champ",IF($H332="","À renseigner",IF($J332&lt;0,"Dépassée",IF($J332&lt;=30,"À planifier","À jour")))))</f>
        <v/>
      </c>
      <c r="L332" s="5"/>
      <c r="M332" s="5"/>
      <c r="N332" s="5"/>
    </row>
    <row r="333" spans="1:14" x14ac:dyDescent="0.25">
      <c r="A333" s="5"/>
      <c r="B333" s="5"/>
      <c r="C333" s="5"/>
      <c r="D333" s="5"/>
      <c r="E333" s="5"/>
      <c r="F333" s="5"/>
      <c r="G333" s="6" t="str">
        <f>IF($F333="","",IF(ISNA(VLOOKUP($F333,'Référentiel VGP'!$A$2:$B$33,2,FALSE)),"",VLOOKUP($F333,'Référentiel VGP'!$A$2:$B$33,2,FALSE)))</f>
        <v/>
      </c>
      <c r="H333" s="7"/>
      <c r="I333" s="8" t="str">
        <f>IF(OR($H333="",NOT(ISNUMBER($G333))),"",MIN(DATE(YEAR($H333),MONTH($H333)+$G333,DAY($H333)),DATE(YEAR($H333),MONTH($H333)+$G333+1,0)))</f>
        <v/>
      </c>
      <c r="J333" s="6" t="str">
        <f>IF($I333="","",$I333-TODAY())</f>
        <v/>
      </c>
      <c r="K333" s="9" t="str">
        <f>IF($F333="","",IF(NOT(ISNUMBER($G333)),"Hors champ",IF($H333="","À renseigner",IF($J333&lt;0,"Dépassée",IF($J333&lt;=30,"À planifier","À jour")))))</f>
        <v/>
      </c>
      <c r="L333" s="5"/>
      <c r="M333" s="5"/>
      <c r="N333" s="5"/>
    </row>
    <row r="334" spans="1:14" x14ac:dyDescent="0.25">
      <c r="A334" s="5"/>
      <c r="B334" s="5"/>
      <c r="C334" s="5"/>
      <c r="D334" s="5"/>
      <c r="E334" s="5"/>
      <c r="F334" s="5"/>
      <c r="G334" s="6" t="str">
        <f>IF($F334="","",IF(ISNA(VLOOKUP($F334,'Référentiel VGP'!$A$2:$B$33,2,FALSE)),"",VLOOKUP($F334,'Référentiel VGP'!$A$2:$B$33,2,FALSE)))</f>
        <v/>
      </c>
      <c r="H334" s="7"/>
      <c r="I334" s="8" t="str">
        <f>IF(OR($H334="",NOT(ISNUMBER($G334))),"",MIN(DATE(YEAR($H334),MONTH($H334)+$G334,DAY($H334)),DATE(YEAR($H334),MONTH($H334)+$G334+1,0)))</f>
        <v/>
      </c>
      <c r="J334" s="6" t="str">
        <f>IF($I334="","",$I334-TODAY())</f>
        <v/>
      </c>
      <c r="K334" s="9" t="str">
        <f>IF($F334="","",IF(NOT(ISNUMBER($G334)),"Hors champ",IF($H334="","À renseigner",IF($J334&lt;0,"Dépassée",IF($J334&lt;=30,"À planifier","À jour")))))</f>
        <v/>
      </c>
      <c r="L334" s="5"/>
      <c r="M334" s="5"/>
      <c r="N334" s="5"/>
    </row>
    <row r="335" spans="1:14" x14ac:dyDescent="0.25">
      <c r="A335" s="5"/>
      <c r="B335" s="5"/>
      <c r="C335" s="5"/>
      <c r="D335" s="5"/>
      <c r="E335" s="5"/>
      <c r="F335" s="5"/>
      <c r="G335" s="6" t="str">
        <f>IF($F335="","",IF(ISNA(VLOOKUP($F335,'Référentiel VGP'!$A$2:$B$33,2,FALSE)),"",VLOOKUP($F335,'Référentiel VGP'!$A$2:$B$33,2,FALSE)))</f>
        <v/>
      </c>
      <c r="H335" s="7"/>
      <c r="I335" s="8" t="str">
        <f>IF(OR($H335="",NOT(ISNUMBER($G335))),"",MIN(DATE(YEAR($H335),MONTH($H335)+$G335,DAY($H335)),DATE(YEAR($H335),MONTH($H335)+$G335+1,0)))</f>
        <v/>
      </c>
      <c r="J335" s="6" t="str">
        <f>IF($I335="","",$I335-TODAY())</f>
        <v/>
      </c>
      <c r="K335" s="9" t="str">
        <f>IF($F335="","",IF(NOT(ISNUMBER($G335)),"Hors champ",IF($H335="","À renseigner",IF($J335&lt;0,"Dépassée",IF($J335&lt;=30,"À planifier","À jour")))))</f>
        <v/>
      </c>
      <c r="L335" s="5"/>
      <c r="M335" s="5"/>
      <c r="N335" s="5"/>
    </row>
    <row r="336" spans="1:14" x14ac:dyDescent="0.25">
      <c r="A336" s="5"/>
      <c r="B336" s="5"/>
      <c r="C336" s="5"/>
      <c r="D336" s="5"/>
      <c r="E336" s="5"/>
      <c r="F336" s="5"/>
      <c r="G336" s="6" t="str">
        <f>IF($F336="","",IF(ISNA(VLOOKUP($F336,'Référentiel VGP'!$A$2:$B$33,2,FALSE)),"",VLOOKUP($F336,'Référentiel VGP'!$A$2:$B$33,2,FALSE)))</f>
        <v/>
      </c>
      <c r="H336" s="7"/>
      <c r="I336" s="8" t="str">
        <f>IF(OR($H336="",NOT(ISNUMBER($G336))),"",MIN(DATE(YEAR($H336),MONTH($H336)+$G336,DAY($H336)),DATE(YEAR($H336),MONTH($H336)+$G336+1,0)))</f>
        <v/>
      </c>
      <c r="J336" s="6" t="str">
        <f>IF($I336="","",$I336-TODAY())</f>
        <v/>
      </c>
      <c r="K336" s="9" t="str">
        <f>IF($F336="","",IF(NOT(ISNUMBER($G336)),"Hors champ",IF($H336="","À renseigner",IF($J336&lt;0,"Dépassée",IF($J336&lt;=30,"À planifier","À jour")))))</f>
        <v/>
      </c>
      <c r="L336" s="5"/>
      <c r="M336" s="5"/>
      <c r="N336" s="5"/>
    </row>
    <row r="337" spans="1:14" x14ac:dyDescent="0.25">
      <c r="A337" s="5"/>
      <c r="B337" s="5"/>
      <c r="C337" s="5"/>
      <c r="D337" s="5"/>
      <c r="E337" s="5"/>
      <c r="F337" s="5"/>
      <c r="G337" s="6" t="str">
        <f>IF($F337="","",IF(ISNA(VLOOKUP($F337,'Référentiel VGP'!$A$2:$B$33,2,FALSE)),"",VLOOKUP($F337,'Référentiel VGP'!$A$2:$B$33,2,FALSE)))</f>
        <v/>
      </c>
      <c r="H337" s="7"/>
      <c r="I337" s="8" t="str">
        <f>IF(OR($H337="",NOT(ISNUMBER($G337))),"",MIN(DATE(YEAR($H337),MONTH($H337)+$G337,DAY($H337)),DATE(YEAR($H337),MONTH($H337)+$G337+1,0)))</f>
        <v/>
      </c>
      <c r="J337" s="6" t="str">
        <f>IF($I337="","",$I337-TODAY())</f>
        <v/>
      </c>
      <c r="K337" s="9" t="str">
        <f>IF($F337="","",IF(NOT(ISNUMBER($G337)),"Hors champ",IF($H337="","À renseigner",IF($J337&lt;0,"Dépassée",IF($J337&lt;=30,"À planifier","À jour")))))</f>
        <v/>
      </c>
      <c r="L337" s="5"/>
      <c r="M337" s="5"/>
      <c r="N337" s="5"/>
    </row>
    <row r="338" spans="1:14" x14ac:dyDescent="0.25">
      <c r="A338" s="5"/>
      <c r="B338" s="5"/>
      <c r="C338" s="5"/>
      <c r="D338" s="5"/>
      <c r="E338" s="5"/>
      <c r="F338" s="5"/>
      <c r="G338" s="6" t="str">
        <f>IF($F338="","",IF(ISNA(VLOOKUP($F338,'Référentiel VGP'!$A$2:$B$33,2,FALSE)),"",VLOOKUP($F338,'Référentiel VGP'!$A$2:$B$33,2,FALSE)))</f>
        <v/>
      </c>
      <c r="H338" s="7"/>
      <c r="I338" s="8" t="str">
        <f>IF(OR($H338="",NOT(ISNUMBER($G338))),"",MIN(DATE(YEAR($H338),MONTH($H338)+$G338,DAY($H338)),DATE(YEAR($H338),MONTH($H338)+$G338+1,0)))</f>
        <v/>
      </c>
      <c r="J338" s="6" t="str">
        <f>IF($I338="","",$I338-TODAY())</f>
        <v/>
      </c>
      <c r="K338" s="9" t="str">
        <f>IF($F338="","",IF(NOT(ISNUMBER($G338)),"Hors champ",IF($H338="","À renseigner",IF($J338&lt;0,"Dépassée",IF($J338&lt;=30,"À planifier","À jour")))))</f>
        <v/>
      </c>
      <c r="L338" s="5"/>
      <c r="M338" s="5"/>
      <c r="N338" s="5"/>
    </row>
    <row r="339" spans="1:14" x14ac:dyDescent="0.25">
      <c r="A339" s="5"/>
      <c r="B339" s="5"/>
      <c r="C339" s="5"/>
      <c r="D339" s="5"/>
      <c r="E339" s="5"/>
      <c r="F339" s="5"/>
      <c r="G339" s="6" t="str">
        <f>IF($F339="","",IF(ISNA(VLOOKUP($F339,'Référentiel VGP'!$A$2:$B$33,2,FALSE)),"",VLOOKUP($F339,'Référentiel VGP'!$A$2:$B$33,2,FALSE)))</f>
        <v/>
      </c>
      <c r="H339" s="7"/>
      <c r="I339" s="8" t="str">
        <f>IF(OR($H339="",NOT(ISNUMBER($G339))),"",MIN(DATE(YEAR($H339),MONTH($H339)+$G339,DAY($H339)),DATE(YEAR($H339),MONTH($H339)+$G339+1,0)))</f>
        <v/>
      </c>
      <c r="J339" s="6" t="str">
        <f>IF($I339="","",$I339-TODAY())</f>
        <v/>
      </c>
      <c r="K339" s="9" t="str">
        <f>IF($F339="","",IF(NOT(ISNUMBER($G339)),"Hors champ",IF($H339="","À renseigner",IF($J339&lt;0,"Dépassée",IF($J339&lt;=30,"À planifier","À jour")))))</f>
        <v/>
      </c>
      <c r="L339" s="5"/>
      <c r="M339" s="5"/>
      <c r="N339" s="5"/>
    </row>
    <row r="340" spans="1:14" x14ac:dyDescent="0.25">
      <c r="A340" s="5"/>
      <c r="B340" s="5"/>
      <c r="C340" s="5"/>
      <c r="D340" s="5"/>
      <c r="E340" s="5"/>
      <c r="F340" s="5"/>
      <c r="G340" s="6" t="str">
        <f>IF($F340="","",IF(ISNA(VLOOKUP($F340,'Référentiel VGP'!$A$2:$B$33,2,FALSE)),"",VLOOKUP($F340,'Référentiel VGP'!$A$2:$B$33,2,FALSE)))</f>
        <v/>
      </c>
      <c r="H340" s="7"/>
      <c r="I340" s="8" t="str">
        <f>IF(OR($H340="",NOT(ISNUMBER($G340))),"",MIN(DATE(YEAR($H340),MONTH($H340)+$G340,DAY($H340)),DATE(YEAR($H340),MONTH($H340)+$G340+1,0)))</f>
        <v/>
      </c>
      <c r="J340" s="6" t="str">
        <f>IF($I340="","",$I340-TODAY())</f>
        <v/>
      </c>
      <c r="K340" s="9" t="str">
        <f>IF($F340="","",IF(NOT(ISNUMBER($G340)),"Hors champ",IF($H340="","À renseigner",IF($J340&lt;0,"Dépassée",IF($J340&lt;=30,"À planifier","À jour")))))</f>
        <v/>
      </c>
      <c r="L340" s="5"/>
      <c r="M340" s="5"/>
      <c r="N340" s="5"/>
    </row>
    <row r="341" spans="1:14" x14ac:dyDescent="0.25">
      <c r="A341" s="5"/>
      <c r="B341" s="5"/>
      <c r="C341" s="5"/>
      <c r="D341" s="5"/>
      <c r="E341" s="5"/>
      <c r="F341" s="5"/>
      <c r="G341" s="6" t="str">
        <f>IF($F341="","",IF(ISNA(VLOOKUP($F341,'Référentiel VGP'!$A$2:$B$33,2,FALSE)),"",VLOOKUP($F341,'Référentiel VGP'!$A$2:$B$33,2,FALSE)))</f>
        <v/>
      </c>
      <c r="H341" s="7"/>
      <c r="I341" s="8" t="str">
        <f>IF(OR($H341="",NOT(ISNUMBER($G341))),"",MIN(DATE(YEAR($H341),MONTH($H341)+$G341,DAY($H341)),DATE(YEAR($H341),MONTH($H341)+$G341+1,0)))</f>
        <v/>
      </c>
      <c r="J341" s="6" t="str">
        <f>IF($I341="","",$I341-TODAY())</f>
        <v/>
      </c>
      <c r="K341" s="9" t="str">
        <f>IF($F341="","",IF(NOT(ISNUMBER($G341)),"Hors champ",IF($H341="","À renseigner",IF($J341&lt;0,"Dépassée",IF($J341&lt;=30,"À planifier","À jour")))))</f>
        <v/>
      </c>
      <c r="L341" s="5"/>
      <c r="M341" s="5"/>
      <c r="N341" s="5"/>
    </row>
    <row r="342" spans="1:14" x14ac:dyDescent="0.25">
      <c r="A342" s="5"/>
      <c r="B342" s="5"/>
      <c r="C342" s="5"/>
      <c r="D342" s="5"/>
      <c r="E342" s="5"/>
      <c r="F342" s="5"/>
      <c r="G342" s="6" t="str">
        <f>IF($F342="","",IF(ISNA(VLOOKUP($F342,'Référentiel VGP'!$A$2:$B$33,2,FALSE)),"",VLOOKUP($F342,'Référentiel VGP'!$A$2:$B$33,2,FALSE)))</f>
        <v/>
      </c>
      <c r="H342" s="7"/>
      <c r="I342" s="8" t="str">
        <f>IF(OR($H342="",NOT(ISNUMBER($G342))),"",MIN(DATE(YEAR($H342),MONTH($H342)+$G342,DAY($H342)),DATE(YEAR($H342),MONTH($H342)+$G342+1,0)))</f>
        <v/>
      </c>
      <c r="J342" s="6" t="str">
        <f>IF($I342="","",$I342-TODAY())</f>
        <v/>
      </c>
      <c r="K342" s="9" t="str">
        <f>IF($F342="","",IF(NOT(ISNUMBER($G342)),"Hors champ",IF($H342="","À renseigner",IF($J342&lt;0,"Dépassée",IF($J342&lt;=30,"À planifier","À jour")))))</f>
        <v/>
      </c>
      <c r="L342" s="5"/>
      <c r="M342" s="5"/>
      <c r="N342" s="5"/>
    </row>
    <row r="343" spans="1:14" x14ac:dyDescent="0.25">
      <c r="A343" s="5"/>
      <c r="B343" s="5"/>
      <c r="C343" s="5"/>
      <c r="D343" s="5"/>
      <c r="E343" s="5"/>
      <c r="F343" s="5"/>
      <c r="G343" s="6" t="str">
        <f>IF($F343="","",IF(ISNA(VLOOKUP($F343,'Référentiel VGP'!$A$2:$B$33,2,FALSE)),"",VLOOKUP($F343,'Référentiel VGP'!$A$2:$B$33,2,FALSE)))</f>
        <v/>
      </c>
      <c r="H343" s="7"/>
      <c r="I343" s="8" t="str">
        <f>IF(OR($H343="",NOT(ISNUMBER($G343))),"",MIN(DATE(YEAR($H343),MONTH($H343)+$G343,DAY($H343)),DATE(YEAR($H343),MONTH($H343)+$G343+1,0)))</f>
        <v/>
      </c>
      <c r="J343" s="6" t="str">
        <f>IF($I343="","",$I343-TODAY())</f>
        <v/>
      </c>
      <c r="K343" s="9" t="str">
        <f>IF($F343="","",IF(NOT(ISNUMBER($G343)),"Hors champ",IF($H343="","À renseigner",IF($J343&lt;0,"Dépassée",IF($J343&lt;=30,"À planifier","À jour")))))</f>
        <v/>
      </c>
      <c r="L343" s="5"/>
      <c r="M343" s="5"/>
      <c r="N343" s="5"/>
    </row>
    <row r="344" spans="1:14" x14ac:dyDescent="0.25">
      <c r="A344" s="5"/>
      <c r="B344" s="5"/>
      <c r="C344" s="5"/>
      <c r="D344" s="5"/>
      <c r="E344" s="5"/>
      <c r="F344" s="5"/>
      <c r="G344" s="6" t="str">
        <f>IF($F344="","",IF(ISNA(VLOOKUP($F344,'Référentiel VGP'!$A$2:$B$33,2,FALSE)),"",VLOOKUP($F344,'Référentiel VGP'!$A$2:$B$33,2,FALSE)))</f>
        <v/>
      </c>
      <c r="H344" s="7"/>
      <c r="I344" s="8" t="str">
        <f>IF(OR($H344="",NOT(ISNUMBER($G344))),"",MIN(DATE(YEAR($H344),MONTH($H344)+$G344,DAY($H344)),DATE(YEAR($H344),MONTH($H344)+$G344+1,0)))</f>
        <v/>
      </c>
      <c r="J344" s="6" t="str">
        <f>IF($I344="","",$I344-TODAY())</f>
        <v/>
      </c>
      <c r="K344" s="9" t="str">
        <f>IF($F344="","",IF(NOT(ISNUMBER($G344)),"Hors champ",IF($H344="","À renseigner",IF($J344&lt;0,"Dépassée",IF($J344&lt;=30,"À planifier","À jour")))))</f>
        <v/>
      </c>
      <c r="L344" s="5"/>
      <c r="M344" s="5"/>
      <c r="N344" s="5"/>
    </row>
    <row r="345" spans="1:14" x14ac:dyDescent="0.25">
      <c r="A345" s="5"/>
      <c r="B345" s="5"/>
      <c r="C345" s="5"/>
      <c r="D345" s="5"/>
      <c r="E345" s="5"/>
      <c r="F345" s="5"/>
      <c r="G345" s="6" t="str">
        <f>IF($F345="","",IF(ISNA(VLOOKUP($F345,'Référentiel VGP'!$A$2:$B$33,2,FALSE)),"",VLOOKUP($F345,'Référentiel VGP'!$A$2:$B$33,2,FALSE)))</f>
        <v/>
      </c>
      <c r="H345" s="7"/>
      <c r="I345" s="8" t="str">
        <f>IF(OR($H345="",NOT(ISNUMBER($G345))),"",MIN(DATE(YEAR($H345),MONTH($H345)+$G345,DAY($H345)),DATE(YEAR($H345),MONTH($H345)+$G345+1,0)))</f>
        <v/>
      </c>
      <c r="J345" s="6" t="str">
        <f>IF($I345="","",$I345-TODAY())</f>
        <v/>
      </c>
      <c r="K345" s="9" t="str">
        <f>IF($F345="","",IF(NOT(ISNUMBER($G345)),"Hors champ",IF($H345="","À renseigner",IF($J345&lt;0,"Dépassée",IF($J345&lt;=30,"À planifier","À jour")))))</f>
        <v/>
      </c>
      <c r="L345" s="5"/>
      <c r="M345" s="5"/>
      <c r="N345" s="5"/>
    </row>
    <row r="346" spans="1:14" x14ac:dyDescent="0.25">
      <c r="A346" s="5"/>
      <c r="B346" s="5"/>
      <c r="C346" s="5"/>
      <c r="D346" s="5"/>
      <c r="E346" s="5"/>
      <c r="F346" s="5"/>
      <c r="G346" s="6" t="str">
        <f>IF($F346="","",IF(ISNA(VLOOKUP($F346,'Référentiel VGP'!$A$2:$B$33,2,FALSE)),"",VLOOKUP($F346,'Référentiel VGP'!$A$2:$B$33,2,FALSE)))</f>
        <v/>
      </c>
      <c r="H346" s="7"/>
      <c r="I346" s="8" t="str">
        <f>IF(OR($H346="",NOT(ISNUMBER($G346))),"",MIN(DATE(YEAR($H346),MONTH($H346)+$G346,DAY($H346)),DATE(YEAR($H346),MONTH($H346)+$G346+1,0)))</f>
        <v/>
      </c>
      <c r="J346" s="6" t="str">
        <f>IF($I346="","",$I346-TODAY())</f>
        <v/>
      </c>
      <c r="K346" s="9" t="str">
        <f>IF($F346="","",IF(NOT(ISNUMBER($G346)),"Hors champ",IF($H346="","À renseigner",IF($J346&lt;0,"Dépassée",IF($J346&lt;=30,"À planifier","À jour")))))</f>
        <v/>
      </c>
      <c r="L346" s="5"/>
      <c r="M346" s="5"/>
      <c r="N346" s="5"/>
    </row>
    <row r="347" spans="1:14" x14ac:dyDescent="0.25">
      <c r="A347" s="5"/>
      <c r="B347" s="5"/>
      <c r="C347" s="5"/>
      <c r="D347" s="5"/>
      <c r="E347" s="5"/>
      <c r="F347" s="5"/>
      <c r="G347" s="6" t="str">
        <f>IF($F347="","",IF(ISNA(VLOOKUP($F347,'Référentiel VGP'!$A$2:$B$33,2,FALSE)),"",VLOOKUP($F347,'Référentiel VGP'!$A$2:$B$33,2,FALSE)))</f>
        <v/>
      </c>
      <c r="H347" s="7"/>
      <c r="I347" s="8" t="str">
        <f>IF(OR($H347="",NOT(ISNUMBER($G347))),"",MIN(DATE(YEAR($H347),MONTH($H347)+$G347,DAY($H347)),DATE(YEAR($H347),MONTH($H347)+$G347+1,0)))</f>
        <v/>
      </c>
      <c r="J347" s="6" t="str">
        <f>IF($I347="","",$I347-TODAY())</f>
        <v/>
      </c>
      <c r="K347" s="9" t="str">
        <f>IF($F347="","",IF(NOT(ISNUMBER($G347)),"Hors champ",IF($H347="","À renseigner",IF($J347&lt;0,"Dépassée",IF($J347&lt;=30,"À planifier","À jour")))))</f>
        <v/>
      </c>
      <c r="L347" s="5"/>
      <c r="M347" s="5"/>
      <c r="N347" s="5"/>
    </row>
    <row r="348" spans="1:14" x14ac:dyDescent="0.25">
      <c r="A348" s="5"/>
      <c r="B348" s="5"/>
      <c r="C348" s="5"/>
      <c r="D348" s="5"/>
      <c r="E348" s="5"/>
      <c r="F348" s="5"/>
      <c r="G348" s="6" t="str">
        <f>IF($F348="","",IF(ISNA(VLOOKUP($F348,'Référentiel VGP'!$A$2:$B$33,2,FALSE)),"",VLOOKUP($F348,'Référentiel VGP'!$A$2:$B$33,2,FALSE)))</f>
        <v/>
      </c>
      <c r="H348" s="7"/>
      <c r="I348" s="8" t="str">
        <f>IF(OR($H348="",NOT(ISNUMBER($G348))),"",MIN(DATE(YEAR($H348),MONTH($H348)+$G348,DAY($H348)),DATE(YEAR($H348),MONTH($H348)+$G348+1,0)))</f>
        <v/>
      </c>
      <c r="J348" s="6" t="str">
        <f>IF($I348="","",$I348-TODAY())</f>
        <v/>
      </c>
      <c r="K348" s="9" t="str">
        <f>IF($F348="","",IF(NOT(ISNUMBER($G348)),"Hors champ",IF($H348="","À renseigner",IF($J348&lt;0,"Dépassée",IF($J348&lt;=30,"À planifier","À jour")))))</f>
        <v/>
      </c>
      <c r="L348" s="5"/>
      <c r="M348" s="5"/>
      <c r="N348" s="5"/>
    </row>
    <row r="349" spans="1:14" x14ac:dyDescent="0.25">
      <c r="A349" s="5"/>
      <c r="B349" s="5"/>
      <c r="C349" s="5"/>
      <c r="D349" s="5"/>
      <c r="E349" s="5"/>
      <c r="F349" s="5"/>
      <c r="G349" s="6" t="str">
        <f>IF($F349="","",IF(ISNA(VLOOKUP($F349,'Référentiel VGP'!$A$2:$B$33,2,FALSE)),"",VLOOKUP($F349,'Référentiel VGP'!$A$2:$B$33,2,FALSE)))</f>
        <v/>
      </c>
      <c r="H349" s="7"/>
      <c r="I349" s="8" t="str">
        <f>IF(OR($H349="",NOT(ISNUMBER($G349))),"",MIN(DATE(YEAR($H349),MONTH($H349)+$G349,DAY($H349)),DATE(YEAR($H349),MONTH($H349)+$G349+1,0)))</f>
        <v/>
      </c>
      <c r="J349" s="6" t="str">
        <f>IF($I349="","",$I349-TODAY())</f>
        <v/>
      </c>
      <c r="K349" s="9" t="str">
        <f>IF($F349="","",IF(NOT(ISNUMBER($G349)),"Hors champ",IF($H349="","À renseigner",IF($J349&lt;0,"Dépassée",IF($J349&lt;=30,"À planifier","À jour")))))</f>
        <v/>
      </c>
      <c r="L349" s="5"/>
      <c r="M349" s="5"/>
      <c r="N349" s="5"/>
    </row>
    <row r="350" spans="1:14" x14ac:dyDescent="0.25">
      <c r="A350" s="5"/>
      <c r="B350" s="5"/>
      <c r="C350" s="5"/>
      <c r="D350" s="5"/>
      <c r="E350" s="5"/>
      <c r="F350" s="5"/>
      <c r="G350" s="6" t="str">
        <f>IF($F350="","",IF(ISNA(VLOOKUP($F350,'Référentiel VGP'!$A$2:$B$33,2,FALSE)),"",VLOOKUP($F350,'Référentiel VGP'!$A$2:$B$33,2,FALSE)))</f>
        <v/>
      </c>
      <c r="H350" s="7"/>
      <c r="I350" s="8" t="str">
        <f>IF(OR($H350="",NOT(ISNUMBER($G350))),"",MIN(DATE(YEAR($H350),MONTH($H350)+$G350,DAY($H350)),DATE(YEAR($H350),MONTH($H350)+$G350+1,0)))</f>
        <v/>
      </c>
      <c r="J350" s="6" t="str">
        <f>IF($I350="","",$I350-TODAY())</f>
        <v/>
      </c>
      <c r="K350" s="9" t="str">
        <f>IF($F350="","",IF(NOT(ISNUMBER($G350)),"Hors champ",IF($H350="","À renseigner",IF($J350&lt;0,"Dépassée",IF($J350&lt;=30,"À planifier","À jour")))))</f>
        <v/>
      </c>
      <c r="L350" s="5"/>
      <c r="M350" s="5"/>
      <c r="N350" s="5"/>
    </row>
    <row r="351" spans="1:14" x14ac:dyDescent="0.25">
      <c r="A351" s="5"/>
      <c r="B351" s="5"/>
      <c r="C351" s="5"/>
      <c r="D351" s="5"/>
      <c r="E351" s="5"/>
      <c r="F351" s="5"/>
      <c r="G351" s="6" t="str">
        <f>IF($F351="","",IF(ISNA(VLOOKUP($F351,'Référentiel VGP'!$A$2:$B$33,2,FALSE)),"",VLOOKUP($F351,'Référentiel VGP'!$A$2:$B$33,2,FALSE)))</f>
        <v/>
      </c>
      <c r="H351" s="7"/>
      <c r="I351" s="8" t="str">
        <f>IF(OR($H351="",NOT(ISNUMBER($G351))),"",MIN(DATE(YEAR($H351),MONTH($H351)+$G351,DAY($H351)),DATE(YEAR($H351),MONTH($H351)+$G351+1,0)))</f>
        <v/>
      </c>
      <c r="J351" s="6" t="str">
        <f>IF($I351="","",$I351-TODAY())</f>
        <v/>
      </c>
      <c r="K351" s="9" t="str">
        <f>IF($F351="","",IF(NOT(ISNUMBER($G351)),"Hors champ",IF($H351="","À renseigner",IF($J351&lt;0,"Dépassée",IF($J351&lt;=30,"À planifier","À jour")))))</f>
        <v/>
      </c>
      <c r="L351" s="5"/>
      <c r="M351" s="5"/>
      <c r="N351" s="5"/>
    </row>
    <row r="352" spans="1:14" x14ac:dyDescent="0.25">
      <c r="A352" s="5"/>
      <c r="B352" s="5"/>
      <c r="C352" s="5"/>
      <c r="D352" s="5"/>
      <c r="E352" s="5"/>
      <c r="F352" s="5"/>
      <c r="G352" s="6" t="str">
        <f>IF($F352="","",IF(ISNA(VLOOKUP($F352,'Référentiel VGP'!$A$2:$B$33,2,FALSE)),"",VLOOKUP($F352,'Référentiel VGP'!$A$2:$B$33,2,FALSE)))</f>
        <v/>
      </c>
      <c r="H352" s="7"/>
      <c r="I352" s="8" t="str">
        <f>IF(OR($H352="",NOT(ISNUMBER($G352))),"",MIN(DATE(YEAR($H352),MONTH($H352)+$G352,DAY($H352)),DATE(YEAR($H352),MONTH($H352)+$G352+1,0)))</f>
        <v/>
      </c>
      <c r="J352" s="6" t="str">
        <f>IF($I352="","",$I352-TODAY())</f>
        <v/>
      </c>
      <c r="K352" s="9" t="str">
        <f>IF($F352="","",IF(NOT(ISNUMBER($G352)),"Hors champ",IF($H352="","À renseigner",IF($J352&lt;0,"Dépassée",IF($J352&lt;=30,"À planifier","À jour")))))</f>
        <v/>
      </c>
      <c r="L352" s="5"/>
      <c r="M352" s="5"/>
      <c r="N352" s="5"/>
    </row>
    <row r="353" spans="1:14" x14ac:dyDescent="0.25">
      <c r="A353" s="5"/>
      <c r="B353" s="5"/>
      <c r="C353" s="5"/>
      <c r="D353" s="5"/>
      <c r="E353" s="5"/>
      <c r="F353" s="5"/>
      <c r="G353" s="6" t="str">
        <f>IF($F353="","",IF(ISNA(VLOOKUP($F353,'Référentiel VGP'!$A$2:$B$33,2,FALSE)),"",VLOOKUP($F353,'Référentiel VGP'!$A$2:$B$33,2,FALSE)))</f>
        <v/>
      </c>
      <c r="H353" s="7"/>
      <c r="I353" s="8" t="str">
        <f>IF(OR($H353="",NOT(ISNUMBER($G353))),"",MIN(DATE(YEAR($H353),MONTH($H353)+$G353,DAY($H353)),DATE(YEAR($H353),MONTH($H353)+$G353+1,0)))</f>
        <v/>
      </c>
      <c r="J353" s="6" t="str">
        <f>IF($I353="","",$I353-TODAY())</f>
        <v/>
      </c>
      <c r="K353" s="9" t="str">
        <f>IF($F353="","",IF(NOT(ISNUMBER($G353)),"Hors champ",IF($H353="","À renseigner",IF($J353&lt;0,"Dépassée",IF($J353&lt;=30,"À planifier","À jour")))))</f>
        <v/>
      </c>
      <c r="L353" s="5"/>
      <c r="M353" s="5"/>
      <c r="N353" s="5"/>
    </row>
    <row r="354" spans="1:14" x14ac:dyDescent="0.25">
      <c r="A354" s="5"/>
      <c r="B354" s="5"/>
      <c r="C354" s="5"/>
      <c r="D354" s="5"/>
      <c r="E354" s="5"/>
      <c r="F354" s="5"/>
      <c r="G354" s="6" t="str">
        <f>IF($F354="","",IF(ISNA(VLOOKUP($F354,'Référentiel VGP'!$A$2:$B$33,2,FALSE)),"",VLOOKUP($F354,'Référentiel VGP'!$A$2:$B$33,2,FALSE)))</f>
        <v/>
      </c>
      <c r="H354" s="7"/>
      <c r="I354" s="8" t="str">
        <f>IF(OR($H354="",NOT(ISNUMBER($G354))),"",MIN(DATE(YEAR($H354),MONTH($H354)+$G354,DAY($H354)),DATE(YEAR($H354),MONTH($H354)+$G354+1,0)))</f>
        <v/>
      </c>
      <c r="J354" s="6" t="str">
        <f>IF($I354="","",$I354-TODAY())</f>
        <v/>
      </c>
      <c r="K354" s="9" t="str">
        <f>IF($F354="","",IF(NOT(ISNUMBER($G354)),"Hors champ",IF($H354="","À renseigner",IF($J354&lt;0,"Dépassée",IF($J354&lt;=30,"À planifier","À jour")))))</f>
        <v/>
      </c>
      <c r="L354" s="5"/>
      <c r="M354" s="5"/>
      <c r="N354" s="5"/>
    </row>
    <row r="355" spans="1:14" x14ac:dyDescent="0.25">
      <c r="A355" s="5"/>
      <c r="B355" s="5"/>
      <c r="C355" s="5"/>
      <c r="D355" s="5"/>
      <c r="E355" s="5"/>
      <c r="F355" s="5"/>
      <c r="G355" s="6" t="str">
        <f>IF($F355="","",IF(ISNA(VLOOKUP($F355,'Référentiel VGP'!$A$2:$B$33,2,FALSE)),"",VLOOKUP($F355,'Référentiel VGP'!$A$2:$B$33,2,FALSE)))</f>
        <v/>
      </c>
      <c r="H355" s="7"/>
      <c r="I355" s="8" t="str">
        <f>IF(OR($H355="",NOT(ISNUMBER($G355))),"",MIN(DATE(YEAR($H355),MONTH($H355)+$G355,DAY($H355)),DATE(YEAR($H355),MONTH($H355)+$G355+1,0)))</f>
        <v/>
      </c>
      <c r="J355" s="6" t="str">
        <f>IF($I355="","",$I355-TODAY())</f>
        <v/>
      </c>
      <c r="K355" s="9" t="str">
        <f>IF($F355="","",IF(NOT(ISNUMBER($G355)),"Hors champ",IF($H355="","À renseigner",IF($J355&lt;0,"Dépassée",IF($J355&lt;=30,"À planifier","À jour")))))</f>
        <v/>
      </c>
      <c r="L355" s="5"/>
      <c r="M355" s="5"/>
      <c r="N355" s="5"/>
    </row>
    <row r="356" spans="1:14" x14ac:dyDescent="0.25">
      <c r="A356" s="5"/>
      <c r="B356" s="5"/>
      <c r="C356" s="5"/>
      <c r="D356" s="5"/>
      <c r="E356" s="5"/>
      <c r="F356" s="5"/>
      <c r="G356" s="6" t="str">
        <f>IF($F356="","",IF(ISNA(VLOOKUP($F356,'Référentiel VGP'!$A$2:$B$33,2,FALSE)),"",VLOOKUP($F356,'Référentiel VGP'!$A$2:$B$33,2,FALSE)))</f>
        <v/>
      </c>
      <c r="H356" s="7"/>
      <c r="I356" s="8" t="str">
        <f>IF(OR($H356="",NOT(ISNUMBER($G356))),"",MIN(DATE(YEAR($H356),MONTH($H356)+$G356,DAY($H356)),DATE(YEAR($H356),MONTH($H356)+$G356+1,0)))</f>
        <v/>
      </c>
      <c r="J356" s="6" t="str">
        <f>IF($I356="","",$I356-TODAY())</f>
        <v/>
      </c>
      <c r="K356" s="9" t="str">
        <f>IF($F356="","",IF(NOT(ISNUMBER($G356)),"Hors champ",IF($H356="","À renseigner",IF($J356&lt;0,"Dépassée",IF($J356&lt;=30,"À planifier","À jour")))))</f>
        <v/>
      </c>
      <c r="L356" s="5"/>
      <c r="M356" s="5"/>
      <c r="N356" s="5"/>
    </row>
    <row r="357" spans="1:14" x14ac:dyDescent="0.25">
      <c r="A357" s="5"/>
      <c r="B357" s="5"/>
      <c r="C357" s="5"/>
      <c r="D357" s="5"/>
      <c r="E357" s="5"/>
      <c r="F357" s="5"/>
      <c r="G357" s="6" t="str">
        <f>IF($F357="","",IF(ISNA(VLOOKUP($F357,'Référentiel VGP'!$A$2:$B$33,2,FALSE)),"",VLOOKUP($F357,'Référentiel VGP'!$A$2:$B$33,2,FALSE)))</f>
        <v/>
      </c>
      <c r="H357" s="7"/>
      <c r="I357" s="8" t="str">
        <f>IF(OR($H357="",NOT(ISNUMBER($G357))),"",MIN(DATE(YEAR($H357),MONTH($H357)+$G357,DAY($H357)),DATE(YEAR($H357),MONTH($H357)+$G357+1,0)))</f>
        <v/>
      </c>
      <c r="J357" s="6" t="str">
        <f>IF($I357="","",$I357-TODAY())</f>
        <v/>
      </c>
      <c r="K357" s="9" t="str">
        <f>IF($F357="","",IF(NOT(ISNUMBER($G357)),"Hors champ",IF($H357="","À renseigner",IF($J357&lt;0,"Dépassée",IF($J357&lt;=30,"À planifier","À jour")))))</f>
        <v/>
      </c>
      <c r="L357" s="5"/>
      <c r="M357" s="5"/>
      <c r="N357" s="5"/>
    </row>
    <row r="358" spans="1:14" x14ac:dyDescent="0.25">
      <c r="A358" s="5"/>
      <c r="B358" s="5"/>
      <c r="C358" s="5"/>
      <c r="D358" s="5"/>
      <c r="E358" s="5"/>
      <c r="F358" s="5"/>
      <c r="G358" s="6" t="str">
        <f>IF($F358="","",IF(ISNA(VLOOKUP($F358,'Référentiel VGP'!$A$2:$B$33,2,FALSE)),"",VLOOKUP($F358,'Référentiel VGP'!$A$2:$B$33,2,FALSE)))</f>
        <v/>
      </c>
      <c r="H358" s="7"/>
      <c r="I358" s="8" t="str">
        <f>IF(OR($H358="",NOT(ISNUMBER($G358))),"",MIN(DATE(YEAR($H358),MONTH($H358)+$G358,DAY($H358)),DATE(YEAR($H358),MONTH($H358)+$G358+1,0)))</f>
        <v/>
      </c>
      <c r="J358" s="6" t="str">
        <f>IF($I358="","",$I358-TODAY())</f>
        <v/>
      </c>
      <c r="K358" s="9" t="str">
        <f>IF($F358="","",IF(NOT(ISNUMBER($G358)),"Hors champ",IF($H358="","À renseigner",IF($J358&lt;0,"Dépassée",IF($J358&lt;=30,"À planifier","À jour")))))</f>
        <v/>
      </c>
      <c r="L358" s="5"/>
      <c r="M358" s="5"/>
      <c r="N358" s="5"/>
    </row>
    <row r="359" spans="1:14" x14ac:dyDescent="0.25">
      <c r="A359" s="5"/>
      <c r="B359" s="5"/>
      <c r="C359" s="5"/>
      <c r="D359" s="5"/>
      <c r="E359" s="5"/>
      <c r="F359" s="5"/>
      <c r="G359" s="6" t="str">
        <f>IF($F359="","",IF(ISNA(VLOOKUP($F359,'Référentiel VGP'!$A$2:$B$33,2,FALSE)),"",VLOOKUP($F359,'Référentiel VGP'!$A$2:$B$33,2,FALSE)))</f>
        <v/>
      </c>
      <c r="H359" s="7"/>
      <c r="I359" s="8" t="str">
        <f>IF(OR($H359="",NOT(ISNUMBER($G359))),"",MIN(DATE(YEAR($H359),MONTH($H359)+$G359,DAY($H359)),DATE(YEAR($H359),MONTH($H359)+$G359+1,0)))</f>
        <v/>
      </c>
      <c r="J359" s="6" t="str">
        <f>IF($I359="","",$I359-TODAY())</f>
        <v/>
      </c>
      <c r="K359" s="9" t="str">
        <f>IF($F359="","",IF(NOT(ISNUMBER($G359)),"Hors champ",IF($H359="","À renseigner",IF($J359&lt;0,"Dépassée",IF($J359&lt;=30,"À planifier","À jour")))))</f>
        <v/>
      </c>
      <c r="L359" s="5"/>
      <c r="M359" s="5"/>
      <c r="N359" s="5"/>
    </row>
    <row r="360" spans="1:14" x14ac:dyDescent="0.25">
      <c r="A360" s="5"/>
      <c r="B360" s="5"/>
      <c r="C360" s="5"/>
      <c r="D360" s="5"/>
      <c r="E360" s="5"/>
      <c r="F360" s="5"/>
      <c r="G360" s="6" t="str">
        <f>IF($F360="","",IF(ISNA(VLOOKUP($F360,'Référentiel VGP'!$A$2:$B$33,2,FALSE)),"",VLOOKUP($F360,'Référentiel VGP'!$A$2:$B$33,2,FALSE)))</f>
        <v/>
      </c>
      <c r="H360" s="7"/>
      <c r="I360" s="8" t="str">
        <f>IF(OR($H360="",NOT(ISNUMBER($G360))),"",MIN(DATE(YEAR($H360),MONTH($H360)+$G360,DAY($H360)),DATE(YEAR($H360),MONTH($H360)+$G360+1,0)))</f>
        <v/>
      </c>
      <c r="J360" s="6" t="str">
        <f>IF($I360="","",$I360-TODAY())</f>
        <v/>
      </c>
      <c r="K360" s="9" t="str">
        <f>IF($F360="","",IF(NOT(ISNUMBER($G360)),"Hors champ",IF($H360="","À renseigner",IF($J360&lt;0,"Dépassée",IF($J360&lt;=30,"À planifier","À jour")))))</f>
        <v/>
      </c>
      <c r="L360" s="5"/>
      <c r="M360" s="5"/>
      <c r="N360" s="5"/>
    </row>
    <row r="361" spans="1:14" x14ac:dyDescent="0.25">
      <c r="A361" s="5"/>
      <c r="B361" s="5"/>
      <c r="C361" s="5"/>
      <c r="D361" s="5"/>
      <c r="E361" s="5"/>
      <c r="F361" s="5"/>
      <c r="G361" s="6" t="str">
        <f>IF($F361="","",IF(ISNA(VLOOKUP($F361,'Référentiel VGP'!$A$2:$B$33,2,FALSE)),"",VLOOKUP($F361,'Référentiel VGP'!$A$2:$B$33,2,FALSE)))</f>
        <v/>
      </c>
      <c r="H361" s="7"/>
      <c r="I361" s="8" t="str">
        <f>IF(OR($H361="",NOT(ISNUMBER($G361))),"",MIN(DATE(YEAR($H361),MONTH($H361)+$G361,DAY($H361)),DATE(YEAR($H361),MONTH($H361)+$G361+1,0)))</f>
        <v/>
      </c>
      <c r="J361" s="6" t="str">
        <f>IF($I361="","",$I361-TODAY())</f>
        <v/>
      </c>
      <c r="K361" s="9" t="str">
        <f>IF($F361="","",IF(NOT(ISNUMBER($G361)),"Hors champ",IF($H361="","À renseigner",IF($J361&lt;0,"Dépassée",IF($J361&lt;=30,"À planifier","À jour")))))</f>
        <v/>
      </c>
      <c r="L361" s="5"/>
      <c r="M361" s="5"/>
      <c r="N361" s="5"/>
    </row>
    <row r="362" spans="1:14" x14ac:dyDescent="0.25">
      <c r="A362" s="5"/>
      <c r="B362" s="5"/>
      <c r="C362" s="5"/>
      <c r="D362" s="5"/>
      <c r="E362" s="5"/>
      <c r="F362" s="5"/>
      <c r="G362" s="6" t="str">
        <f>IF($F362="","",IF(ISNA(VLOOKUP($F362,'Référentiel VGP'!$A$2:$B$33,2,FALSE)),"",VLOOKUP($F362,'Référentiel VGP'!$A$2:$B$33,2,FALSE)))</f>
        <v/>
      </c>
      <c r="H362" s="7"/>
      <c r="I362" s="8" t="str">
        <f>IF(OR($H362="",NOT(ISNUMBER($G362))),"",MIN(DATE(YEAR($H362),MONTH($H362)+$G362,DAY($H362)),DATE(YEAR($H362),MONTH($H362)+$G362+1,0)))</f>
        <v/>
      </c>
      <c r="J362" s="6" t="str">
        <f>IF($I362="","",$I362-TODAY())</f>
        <v/>
      </c>
      <c r="K362" s="9" t="str">
        <f>IF($F362="","",IF(NOT(ISNUMBER($G362)),"Hors champ",IF($H362="","À renseigner",IF($J362&lt;0,"Dépassée",IF($J362&lt;=30,"À planifier","À jour")))))</f>
        <v/>
      </c>
      <c r="L362" s="5"/>
      <c r="M362" s="5"/>
      <c r="N362" s="5"/>
    </row>
    <row r="363" spans="1:14" x14ac:dyDescent="0.25">
      <c r="A363" s="5"/>
      <c r="B363" s="5"/>
      <c r="C363" s="5"/>
      <c r="D363" s="5"/>
      <c r="E363" s="5"/>
      <c r="F363" s="5"/>
      <c r="G363" s="6" t="str">
        <f>IF($F363="","",IF(ISNA(VLOOKUP($F363,'Référentiel VGP'!$A$2:$B$33,2,FALSE)),"",VLOOKUP($F363,'Référentiel VGP'!$A$2:$B$33,2,FALSE)))</f>
        <v/>
      </c>
      <c r="H363" s="7"/>
      <c r="I363" s="8" t="str">
        <f>IF(OR($H363="",NOT(ISNUMBER($G363))),"",MIN(DATE(YEAR($H363),MONTH($H363)+$G363,DAY($H363)),DATE(YEAR($H363),MONTH($H363)+$G363+1,0)))</f>
        <v/>
      </c>
      <c r="J363" s="6" t="str">
        <f>IF($I363="","",$I363-TODAY())</f>
        <v/>
      </c>
      <c r="K363" s="9" t="str">
        <f>IF($F363="","",IF(NOT(ISNUMBER($G363)),"Hors champ",IF($H363="","À renseigner",IF($J363&lt;0,"Dépassée",IF($J363&lt;=30,"À planifier","À jour")))))</f>
        <v/>
      </c>
      <c r="L363" s="5"/>
      <c r="M363" s="5"/>
      <c r="N363" s="5"/>
    </row>
    <row r="364" spans="1:14" x14ac:dyDescent="0.25">
      <c r="A364" s="5"/>
      <c r="B364" s="5"/>
      <c r="C364" s="5"/>
      <c r="D364" s="5"/>
      <c r="E364" s="5"/>
      <c r="F364" s="5"/>
      <c r="G364" s="6" t="str">
        <f>IF($F364="","",IF(ISNA(VLOOKUP($F364,'Référentiel VGP'!$A$2:$B$33,2,FALSE)),"",VLOOKUP($F364,'Référentiel VGP'!$A$2:$B$33,2,FALSE)))</f>
        <v/>
      </c>
      <c r="H364" s="7"/>
      <c r="I364" s="8" t="str">
        <f>IF(OR($H364="",NOT(ISNUMBER($G364))),"",MIN(DATE(YEAR($H364),MONTH($H364)+$G364,DAY($H364)),DATE(YEAR($H364),MONTH($H364)+$G364+1,0)))</f>
        <v/>
      </c>
      <c r="J364" s="6" t="str">
        <f>IF($I364="","",$I364-TODAY())</f>
        <v/>
      </c>
      <c r="K364" s="9" t="str">
        <f>IF($F364="","",IF(NOT(ISNUMBER($G364)),"Hors champ",IF($H364="","À renseigner",IF($J364&lt;0,"Dépassée",IF($J364&lt;=30,"À planifier","À jour")))))</f>
        <v/>
      </c>
      <c r="L364" s="5"/>
      <c r="M364" s="5"/>
      <c r="N364" s="5"/>
    </row>
    <row r="365" spans="1:14" x14ac:dyDescent="0.25">
      <c r="A365" s="5"/>
      <c r="B365" s="5"/>
      <c r="C365" s="5"/>
      <c r="D365" s="5"/>
      <c r="E365" s="5"/>
      <c r="F365" s="5"/>
      <c r="G365" s="6" t="str">
        <f>IF($F365="","",IF(ISNA(VLOOKUP($F365,'Référentiel VGP'!$A$2:$B$33,2,FALSE)),"",VLOOKUP($F365,'Référentiel VGP'!$A$2:$B$33,2,FALSE)))</f>
        <v/>
      </c>
      <c r="H365" s="7"/>
      <c r="I365" s="8" t="str">
        <f>IF(OR($H365="",NOT(ISNUMBER($G365))),"",MIN(DATE(YEAR($H365),MONTH($H365)+$G365,DAY($H365)),DATE(YEAR($H365),MONTH($H365)+$G365+1,0)))</f>
        <v/>
      </c>
      <c r="J365" s="6" t="str">
        <f>IF($I365="","",$I365-TODAY())</f>
        <v/>
      </c>
      <c r="K365" s="9" t="str">
        <f>IF($F365="","",IF(NOT(ISNUMBER($G365)),"Hors champ",IF($H365="","À renseigner",IF($J365&lt;0,"Dépassée",IF($J365&lt;=30,"À planifier","À jour")))))</f>
        <v/>
      </c>
      <c r="L365" s="5"/>
      <c r="M365" s="5"/>
      <c r="N365" s="5"/>
    </row>
    <row r="366" spans="1:14" x14ac:dyDescent="0.25">
      <c r="A366" s="5"/>
      <c r="B366" s="5"/>
      <c r="C366" s="5"/>
      <c r="D366" s="5"/>
      <c r="E366" s="5"/>
      <c r="F366" s="5"/>
      <c r="G366" s="6" t="str">
        <f>IF($F366="","",IF(ISNA(VLOOKUP($F366,'Référentiel VGP'!$A$2:$B$33,2,FALSE)),"",VLOOKUP($F366,'Référentiel VGP'!$A$2:$B$33,2,FALSE)))</f>
        <v/>
      </c>
      <c r="H366" s="7"/>
      <c r="I366" s="8" t="str">
        <f>IF(OR($H366="",NOT(ISNUMBER($G366))),"",MIN(DATE(YEAR($H366),MONTH($H366)+$G366,DAY($H366)),DATE(YEAR($H366),MONTH($H366)+$G366+1,0)))</f>
        <v/>
      </c>
      <c r="J366" s="6" t="str">
        <f>IF($I366="","",$I366-TODAY())</f>
        <v/>
      </c>
      <c r="K366" s="9" t="str">
        <f>IF($F366="","",IF(NOT(ISNUMBER($G366)),"Hors champ",IF($H366="","À renseigner",IF($J366&lt;0,"Dépassée",IF($J366&lt;=30,"À planifier","À jour")))))</f>
        <v/>
      </c>
      <c r="L366" s="5"/>
      <c r="M366" s="5"/>
      <c r="N366" s="5"/>
    </row>
    <row r="367" spans="1:14" x14ac:dyDescent="0.25">
      <c r="A367" s="5"/>
      <c r="B367" s="5"/>
      <c r="C367" s="5"/>
      <c r="D367" s="5"/>
      <c r="E367" s="5"/>
      <c r="F367" s="5"/>
      <c r="G367" s="6" t="str">
        <f>IF($F367="","",IF(ISNA(VLOOKUP($F367,'Référentiel VGP'!$A$2:$B$33,2,FALSE)),"",VLOOKUP($F367,'Référentiel VGP'!$A$2:$B$33,2,FALSE)))</f>
        <v/>
      </c>
      <c r="H367" s="7"/>
      <c r="I367" s="8" t="str">
        <f>IF(OR($H367="",NOT(ISNUMBER($G367))),"",MIN(DATE(YEAR($H367),MONTH($H367)+$G367,DAY($H367)),DATE(YEAR($H367),MONTH($H367)+$G367+1,0)))</f>
        <v/>
      </c>
      <c r="J367" s="6" t="str">
        <f>IF($I367="","",$I367-TODAY())</f>
        <v/>
      </c>
      <c r="K367" s="9" t="str">
        <f>IF($F367="","",IF(NOT(ISNUMBER($G367)),"Hors champ",IF($H367="","À renseigner",IF($J367&lt;0,"Dépassée",IF($J367&lt;=30,"À planifier","À jour")))))</f>
        <v/>
      </c>
      <c r="L367" s="5"/>
      <c r="M367" s="5"/>
      <c r="N367" s="5"/>
    </row>
    <row r="368" spans="1:14" x14ac:dyDescent="0.25">
      <c r="A368" s="5"/>
      <c r="B368" s="5"/>
      <c r="C368" s="5"/>
      <c r="D368" s="5"/>
      <c r="E368" s="5"/>
      <c r="F368" s="5"/>
      <c r="G368" s="6" t="str">
        <f>IF($F368="","",IF(ISNA(VLOOKUP($F368,'Référentiel VGP'!$A$2:$B$33,2,FALSE)),"",VLOOKUP($F368,'Référentiel VGP'!$A$2:$B$33,2,FALSE)))</f>
        <v/>
      </c>
      <c r="H368" s="7"/>
      <c r="I368" s="8" t="str">
        <f>IF(OR($H368="",NOT(ISNUMBER($G368))),"",MIN(DATE(YEAR($H368),MONTH($H368)+$G368,DAY($H368)),DATE(YEAR($H368),MONTH($H368)+$G368+1,0)))</f>
        <v/>
      </c>
      <c r="J368" s="6" t="str">
        <f>IF($I368="","",$I368-TODAY())</f>
        <v/>
      </c>
      <c r="K368" s="9" t="str">
        <f>IF($F368="","",IF(NOT(ISNUMBER($G368)),"Hors champ",IF($H368="","À renseigner",IF($J368&lt;0,"Dépassée",IF($J368&lt;=30,"À planifier","À jour")))))</f>
        <v/>
      </c>
      <c r="L368" s="5"/>
      <c r="M368" s="5"/>
      <c r="N368" s="5"/>
    </row>
    <row r="369" spans="1:14" x14ac:dyDescent="0.25">
      <c r="A369" s="5"/>
      <c r="B369" s="5"/>
      <c r="C369" s="5"/>
      <c r="D369" s="5"/>
      <c r="E369" s="5"/>
      <c r="F369" s="5"/>
      <c r="G369" s="6" t="str">
        <f>IF($F369="","",IF(ISNA(VLOOKUP($F369,'Référentiel VGP'!$A$2:$B$33,2,FALSE)),"",VLOOKUP($F369,'Référentiel VGP'!$A$2:$B$33,2,FALSE)))</f>
        <v/>
      </c>
      <c r="H369" s="7"/>
      <c r="I369" s="8" t="str">
        <f>IF(OR($H369="",NOT(ISNUMBER($G369))),"",MIN(DATE(YEAR($H369),MONTH($H369)+$G369,DAY($H369)),DATE(YEAR($H369),MONTH($H369)+$G369+1,0)))</f>
        <v/>
      </c>
      <c r="J369" s="6" t="str">
        <f>IF($I369="","",$I369-TODAY())</f>
        <v/>
      </c>
      <c r="K369" s="9" t="str">
        <f>IF($F369="","",IF(NOT(ISNUMBER($G369)),"Hors champ",IF($H369="","À renseigner",IF($J369&lt;0,"Dépassée",IF($J369&lt;=30,"À planifier","À jour")))))</f>
        <v/>
      </c>
      <c r="L369" s="5"/>
      <c r="M369" s="5"/>
      <c r="N369" s="5"/>
    </row>
    <row r="370" spans="1:14" x14ac:dyDescent="0.25">
      <c r="A370" s="5"/>
      <c r="B370" s="5"/>
      <c r="C370" s="5"/>
      <c r="D370" s="5"/>
      <c r="E370" s="5"/>
      <c r="F370" s="5"/>
      <c r="G370" s="6" t="str">
        <f>IF($F370="","",IF(ISNA(VLOOKUP($F370,'Référentiel VGP'!$A$2:$B$33,2,FALSE)),"",VLOOKUP($F370,'Référentiel VGP'!$A$2:$B$33,2,FALSE)))</f>
        <v/>
      </c>
      <c r="H370" s="7"/>
      <c r="I370" s="8" t="str">
        <f>IF(OR($H370="",NOT(ISNUMBER($G370))),"",MIN(DATE(YEAR($H370),MONTH($H370)+$G370,DAY($H370)),DATE(YEAR($H370),MONTH($H370)+$G370+1,0)))</f>
        <v/>
      </c>
      <c r="J370" s="6" t="str">
        <f>IF($I370="","",$I370-TODAY())</f>
        <v/>
      </c>
      <c r="K370" s="9" t="str">
        <f>IF($F370="","",IF(NOT(ISNUMBER($G370)),"Hors champ",IF($H370="","À renseigner",IF($J370&lt;0,"Dépassée",IF($J370&lt;=30,"À planifier","À jour")))))</f>
        <v/>
      </c>
      <c r="L370" s="5"/>
      <c r="M370" s="5"/>
      <c r="N370" s="5"/>
    </row>
    <row r="371" spans="1:14" x14ac:dyDescent="0.25">
      <c r="A371" s="5"/>
      <c r="B371" s="5"/>
      <c r="C371" s="5"/>
      <c r="D371" s="5"/>
      <c r="E371" s="5"/>
      <c r="F371" s="5"/>
      <c r="G371" s="6" t="str">
        <f>IF($F371="","",IF(ISNA(VLOOKUP($F371,'Référentiel VGP'!$A$2:$B$33,2,FALSE)),"",VLOOKUP($F371,'Référentiel VGP'!$A$2:$B$33,2,FALSE)))</f>
        <v/>
      </c>
      <c r="H371" s="7"/>
      <c r="I371" s="8" t="str">
        <f>IF(OR($H371="",NOT(ISNUMBER($G371))),"",MIN(DATE(YEAR($H371),MONTH($H371)+$G371,DAY($H371)),DATE(YEAR($H371),MONTH($H371)+$G371+1,0)))</f>
        <v/>
      </c>
      <c r="J371" s="6" t="str">
        <f>IF($I371="","",$I371-TODAY())</f>
        <v/>
      </c>
      <c r="K371" s="9" t="str">
        <f>IF($F371="","",IF(NOT(ISNUMBER($G371)),"Hors champ",IF($H371="","À renseigner",IF($J371&lt;0,"Dépassée",IF($J371&lt;=30,"À planifier","À jour")))))</f>
        <v/>
      </c>
      <c r="L371" s="5"/>
      <c r="M371" s="5"/>
      <c r="N371" s="5"/>
    </row>
    <row r="372" spans="1:14" x14ac:dyDescent="0.25">
      <c r="A372" s="5"/>
      <c r="B372" s="5"/>
      <c r="C372" s="5"/>
      <c r="D372" s="5"/>
      <c r="E372" s="5"/>
      <c r="F372" s="5"/>
      <c r="G372" s="6" t="str">
        <f>IF($F372="","",IF(ISNA(VLOOKUP($F372,'Référentiel VGP'!$A$2:$B$33,2,FALSE)),"",VLOOKUP($F372,'Référentiel VGP'!$A$2:$B$33,2,FALSE)))</f>
        <v/>
      </c>
      <c r="H372" s="7"/>
      <c r="I372" s="8" t="str">
        <f>IF(OR($H372="",NOT(ISNUMBER($G372))),"",MIN(DATE(YEAR($H372),MONTH($H372)+$G372,DAY($H372)),DATE(YEAR($H372),MONTH($H372)+$G372+1,0)))</f>
        <v/>
      </c>
      <c r="J372" s="6" t="str">
        <f>IF($I372="","",$I372-TODAY())</f>
        <v/>
      </c>
      <c r="K372" s="9" t="str">
        <f>IF($F372="","",IF(NOT(ISNUMBER($G372)),"Hors champ",IF($H372="","À renseigner",IF($J372&lt;0,"Dépassée",IF($J372&lt;=30,"À planifier","À jour")))))</f>
        <v/>
      </c>
      <c r="L372" s="5"/>
      <c r="M372" s="5"/>
      <c r="N372" s="5"/>
    </row>
    <row r="373" spans="1:14" x14ac:dyDescent="0.25">
      <c r="A373" s="5"/>
      <c r="B373" s="5"/>
      <c r="C373" s="5"/>
      <c r="D373" s="5"/>
      <c r="E373" s="5"/>
      <c r="F373" s="5"/>
      <c r="G373" s="6" t="str">
        <f>IF($F373="","",IF(ISNA(VLOOKUP($F373,'Référentiel VGP'!$A$2:$B$33,2,FALSE)),"",VLOOKUP($F373,'Référentiel VGP'!$A$2:$B$33,2,FALSE)))</f>
        <v/>
      </c>
      <c r="H373" s="7"/>
      <c r="I373" s="8" t="str">
        <f>IF(OR($H373="",NOT(ISNUMBER($G373))),"",MIN(DATE(YEAR($H373),MONTH($H373)+$G373,DAY($H373)),DATE(YEAR($H373),MONTH($H373)+$G373+1,0)))</f>
        <v/>
      </c>
      <c r="J373" s="6" t="str">
        <f>IF($I373="","",$I373-TODAY())</f>
        <v/>
      </c>
      <c r="K373" s="9" t="str">
        <f>IF($F373="","",IF(NOT(ISNUMBER($G373)),"Hors champ",IF($H373="","À renseigner",IF($J373&lt;0,"Dépassée",IF($J373&lt;=30,"À planifier","À jour")))))</f>
        <v/>
      </c>
      <c r="L373" s="5"/>
      <c r="M373" s="5"/>
      <c r="N373" s="5"/>
    </row>
    <row r="374" spans="1:14" x14ac:dyDescent="0.25">
      <c r="A374" s="5"/>
      <c r="B374" s="5"/>
      <c r="C374" s="5"/>
      <c r="D374" s="5"/>
      <c r="E374" s="5"/>
      <c r="F374" s="5"/>
      <c r="G374" s="6" t="str">
        <f>IF($F374="","",IF(ISNA(VLOOKUP($F374,'Référentiel VGP'!$A$2:$B$33,2,FALSE)),"",VLOOKUP($F374,'Référentiel VGP'!$A$2:$B$33,2,FALSE)))</f>
        <v/>
      </c>
      <c r="H374" s="7"/>
      <c r="I374" s="8" t="str">
        <f>IF(OR($H374="",NOT(ISNUMBER($G374))),"",MIN(DATE(YEAR($H374),MONTH($H374)+$G374,DAY($H374)),DATE(YEAR($H374),MONTH($H374)+$G374+1,0)))</f>
        <v/>
      </c>
      <c r="J374" s="6" t="str">
        <f>IF($I374="","",$I374-TODAY())</f>
        <v/>
      </c>
      <c r="K374" s="9" t="str">
        <f>IF($F374="","",IF(NOT(ISNUMBER($G374)),"Hors champ",IF($H374="","À renseigner",IF($J374&lt;0,"Dépassée",IF($J374&lt;=30,"À planifier","À jour")))))</f>
        <v/>
      </c>
      <c r="L374" s="5"/>
      <c r="M374" s="5"/>
      <c r="N374" s="5"/>
    </row>
    <row r="375" spans="1:14" x14ac:dyDescent="0.25">
      <c r="A375" s="5"/>
      <c r="B375" s="5"/>
      <c r="C375" s="5"/>
      <c r="D375" s="5"/>
      <c r="E375" s="5"/>
      <c r="F375" s="5"/>
      <c r="G375" s="6" t="str">
        <f>IF($F375="","",IF(ISNA(VLOOKUP($F375,'Référentiel VGP'!$A$2:$B$33,2,FALSE)),"",VLOOKUP($F375,'Référentiel VGP'!$A$2:$B$33,2,FALSE)))</f>
        <v/>
      </c>
      <c r="H375" s="7"/>
      <c r="I375" s="8" t="str">
        <f>IF(OR($H375="",NOT(ISNUMBER($G375))),"",MIN(DATE(YEAR($H375),MONTH($H375)+$G375,DAY($H375)),DATE(YEAR($H375),MONTH($H375)+$G375+1,0)))</f>
        <v/>
      </c>
      <c r="J375" s="6" t="str">
        <f>IF($I375="","",$I375-TODAY())</f>
        <v/>
      </c>
      <c r="K375" s="9" t="str">
        <f>IF($F375="","",IF(NOT(ISNUMBER($G375)),"Hors champ",IF($H375="","À renseigner",IF($J375&lt;0,"Dépassée",IF($J375&lt;=30,"À planifier","À jour")))))</f>
        <v/>
      </c>
      <c r="L375" s="5"/>
      <c r="M375" s="5"/>
      <c r="N375" s="5"/>
    </row>
    <row r="376" spans="1:14" x14ac:dyDescent="0.25">
      <c r="A376" s="5"/>
      <c r="B376" s="5"/>
      <c r="C376" s="5"/>
      <c r="D376" s="5"/>
      <c r="E376" s="5"/>
      <c r="F376" s="5"/>
      <c r="G376" s="6" t="str">
        <f>IF($F376="","",IF(ISNA(VLOOKUP($F376,'Référentiel VGP'!$A$2:$B$33,2,FALSE)),"",VLOOKUP($F376,'Référentiel VGP'!$A$2:$B$33,2,FALSE)))</f>
        <v/>
      </c>
      <c r="H376" s="7"/>
      <c r="I376" s="8" t="str">
        <f>IF(OR($H376="",NOT(ISNUMBER($G376))),"",MIN(DATE(YEAR($H376),MONTH($H376)+$G376,DAY($H376)),DATE(YEAR($H376),MONTH($H376)+$G376+1,0)))</f>
        <v/>
      </c>
      <c r="J376" s="6" t="str">
        <f>IF($I376="","",$I376-TODAY())</f>
        <v/>
      </c>
      <c r="K376" s="9" t="str">
        <f>IF($F376="","",IF(NOT(ISNUMBER($G376)),"Hors champ",IF($H376="","À renseigner",IF($J376&lt;0,"Dépassée",IF($J376&lt;=30,"À planifier","À jour")))))</f>
        <v/>
      </c>
      <c r="L376" s="5"/>
      <c r="M376" s="5"/>
      <c r="N376" s="5"/>
    </row>
    <row r="377" spans="1:14" x14ac:dyDescent="0.25">
      <c r="A377" s="5"/>
      <c r="B377" s="5"/>
      <c r="C377" s="5"/>
      <c r="D377" s="5"/>
      <c r="E377" s="5"/>
      <c r="F377" s="5"/>
      <c r="G377" s="6" t="str">
        <f>IF($F377="","",IF(ISNA(VLOOKUP($F377,'Référentiel VGP'!$A$2:$B$33,2,FALSE)),"",VLOOKUP($F377,'Référentiel VGP'!$A$2:$B$33,2,FALSE)))</f>
        <v/>
      </c>
      <c r="H377" s="7"/>
      <c r="I377" s="8" t="str">
        <f>IF(OR($H377="",NOT(ISNUMBER($G377))),"",MIN(DATE(YEAR($H377),MONTH($H377)+$G377,DAY($H377)),DATE(YEAR($H377),MONTH($H377)+$G377+1,0)))</f>
        <v/>
      </c>
      <c r="J377" s="6" t="str">
        <f>IF($I377="","",$I377-TODAY())</f>
        <v/>
      </c>
      <c r="K377" s="9" t="str">
        <f>IF($F377="","",IF(NOT(ISNUMBER($G377)),"Hors champ",IF($H377="","À renseigner",IF($J377&lt;0,"Dépassée",IF($J377&lt;=30,"À planifier","À jour")))))</f>
        <v/>
      </c>
      <c r="L377" s="5"/>
      <c r="M377" s="5"/>
      <c r="N377" s="5"/>
    </row>
    <row r="378" spans="1:14" x14ac:dyDescent="0.25">
      <c r="A378" s="5"/>
      <c r="B378" s="5"/>
      <c r="C378" s="5"/>
      <c r="D378" s="5"/>
      <c r="E378" s="5"/>
      <c r="F378" s="5"/>
      <c r="G378" s="6" t="str">
        <f>IF($F378="","",IF(ISNA(VLOOKUP($F378,'Référentiel VGP'!$A$2:$B$33,2,FALSE)),"",VLOOKUP($F378,'Référentiel VGP'!$A$2:$B$33,2,FALSE)))</f>
        <v/>
      </c>
      <c r="H378" s="7"/>
      <c r="I378" s="8" t="str">
        <f>IF(OR($H378="",NOT(ISNUMBER($G378))),"",MIN(DATE(YEAR($H378),MONTH($H378)+$G378,DAY($H378)),DATE(YEAR($H378),MONTH($H378)+$G378+1,0)))</f>
        <v/>
      </c>
      <c r="J378" s="6" t="str">
        <f>IF($I378="","",$I378-TODAY())</f>
        <v/>
      </c>
      <c r="K378" s="9" t="str">
        <f>IF($F378="","",IF(NOT(ISNUMBER($G378)),"Hors champ",IF($H378="","À renseigner",IF($J378&lt;0,"Dépassée",IF($J378&lt;=30,"À planifier","À jour")))))</f>
        <v/>
      </c>
      <c r="L378" s="5"/>
      <c r="M378" s="5"/>
      <c r="N378" s="5"/>
    </row>
    <row r="379" spans="1:14" x14ac:dyDescent="0.25">
      <c r="A379" s="5"/>
      <c r="B379" s="5"/>
      <c r="C379" s="5"/>
      <c r="D379" s="5"/>
      <c r="E379" s="5"/>
      <c r="F379" s="5"/>
      <c r="G379" s="6" t="str">
        <f>IF($F379="","",IF(ISNA(VLOOKUP($F379,'Référentiel VGP'!$A$2:$B$33,2,FALSE)),"",VLOOKUP($F379,'Référentiel VGP'!$A$2:$B$33,2,FALSE)))</f>
        <v/>
      </c>
      <c r="H379" s="7"/>
      <c r="I379" s="8" t="str">
        <f>IF(OR($H379="",NOT(ISNUMBER($G379))),"",MIN(DATE(YEAR($H379),MONTH($H379)+$G379,DAY($H379)),DATE(YEAR($H379),MONTH($H379)+$G379+1,0)))</f>
        <v/>
      </c>
      <c r="J379" s="6" t="str">
        <f>IF($I379="","",$I379-TODAY())</f>
        <v/>
      </c>
      <c r="K379" s="9" t="str">
        <f>IF($F379="","",IF(NOT(ISNUMBER($G379)),"Hors champ",IF($H379="","À renseigner",IF($J379&lt;0,"Dépassée",IF($J379&lt;=30,"À planifier","À jour")))))</f>
        <v/>
      </c>
      <c r="L379" s="5"/>
      <c r="M379" s="5"/>
      <c r="N379" s="5"/>
    </row>
    <row r="380" spans="1:14" x14ac:dyDescent="0.25">
      <c r="A380" s="5"/>
      <c r="B380" s="5"/>
      <c r="C380" s="5"/>
      <c r="D380" s="5"/>
      <c r="E380" s="5"/>
      <c r="F380" s="5"/>
      <c r="G380" s="6" t="str">
        <f>IF($F380="","",IF(ISNA(VLOOKUP($F380,'Référentiel VGP'!$A$2:$B$33,2,FALSE)),"",VLOOKUP($F380,'Référentiel VGP'!$A$2:$B$33,2,FALSE)))</f>
        <v/>
      </c>
      <c r="H380" s="7"/>
      <c r="I380" s="8" t="str">
        <f>IF(OR($H380="",NOT(ISNUMBER($G380))),"",MIN(DATE(YEAR($H380),MONTH($H380)+$G380,DAY($H380)),DATE(YEAR($H380),MONTH($H380)+$G380+1,0)))</f>
        <v/>
      </c>
      <c r="J380" s="6" t="str">
        <f>IF($I380="","",$I380-TODAY())</f>
        <v/>
      </c>
      <c r="K380" s="9" t="str">
        <f>IF($F380="","",IF(NOT(ISNUMBER($G380)),"Hors champ",IF($H380="","À renseigner",IF($J380&lt;0,"Dépassée",IF($J380&lt;=30,"À planifier","À jour")))))</f>
        <v/>
      </c>
      <c r="L380" s="5"/>
      <c r="M380" s="5"/>
      <c r="N380" s="5"/>
    </row>
    <row r="381" spans="1:14" x14ac:dyDescent="0.25">
      <c r="A381" s="5"/>
      <c r="B381" s="5"/>
      <c r="C381" s="5"/>
      <c r="D381" s="5"/>
      <c r="E381" s="5"/>
      <c r="F381" s="5"/>
      <c r="G381" s="6" t="str">
        <f>IF($F381="","",IF(ISNA(VLOOKUP($F381,'Référentiel VGP'!$A$2:$B$33,2,FALSE)),"",VLOOKUP($F381,'Référentiel VGP'!$A$2:$B$33,2,FALSE)))</f>
        <v/>
      </c>
      <c r="H381" s="7"/>
      <c r="I381" s="8" t="str">
        <f>IF(OR($H381="",NOT(ISNUMBER($G381))),"",MIN(DATE(YEAR($H381),MONTH($H381)+$G381,DAY($H381)),DATE(YEAR($H381),MONTH($H381)+$G381+1,0)))</f>
        <v/>
      </c>
      <c r="J381" s="6" t="str">
        <f>IF($I381="","",$I381-TODAY())</f>
        <v/>
      </c>
      <c r="K381" s="9" t="str">
        <f>IF($F381="","",IF(NOT(ISNUMBER($G381)),"Hors champ",IF($H381="","À renseigner",IF($J381&lt;0,"Dépassée",IF($J381&lt;=30,"À planifier","À jour")))))</f>
        <v/>
      </c>
      <c r="L381" s="5"/>
      <c r="M381" s="5"/>
      <c r="N381" s="5"/>
    </row>
    <row r="382" spans="1:14" x14ac:dyDescent="0.25">
      <c r="A382" s="5"/>
      <c r="B382" s="5"/>
      <c r="C382" s="5"/>
      <c r="D382" s="5"/>
      <c r="E382" s="5"/>
      <c r="F382" s="5"/>
      <c r="G382" s="6" t="str">
        <f>IF($F382="","",IF(ISNA(VLOOKUP($F382,'Référentiel VGP'!$A$2:$B$33,2,FALSE)),"",VLOOKUP($F382,'Référentiel VGP'!$A$2:$B$33,2,FALSE)))</f>
        <v/>
      </c>
      <c r="H382" s="7"/>
      <c r="I382" s="8" t="str">
        <f>IF(OR($H382="",NOT(ISNUMBER($G382))),"",MIN(DATE(YEAR($H382),MONTH($H382)+$G382,DAY($H382)),DATE(YEAR($H382),MONTH($H382)+$G382+1,0)))</f>
        <v/>
      </c>
      <c r="J382" s="6" t="str">
        <f>IF($I382="","",$I382-TODAY())</f>
        <v/>
      </c>
      <c r="K382" s="9" t="str">
        <f>IF($F382="","",IF(NOT(ISNUMBER($G382)),"Hors champ",IF($H382="","À renseigner",IF($J382&lt;0,"Dépassée",IF($J382&lt;=30,"À planifier","À jour")))))</f>
        <v/>
      </c>
      <c r="L382" s="5"/>
      <c r="M382" s="5"/>
      <c r="N382" s="5"/>
    </row>
    <row r="383" spans="1:14" x14ac:dyDescent="0.25">
      <c r="A383" s="5"/>
      <c r="B383" s="5"/>
      <c r="C383" s="5"/>
      <c r="D383" s="5"/>
      <c r="E383" s="5"/>
      <c r="F383" s="5"/>
      <c r="G383" s="6" t="str">
        <f>IF($F383="","",IF(ISNA(VLOOKUP($F383,'Référentiel VGP'!$A$2:$B$33,2,FALSE)),"",VLOOKUP($F383,'Référentiel VGP'!$A$2:$B$33,2,FALSE)))</f>
        <v/>
      </c>
      <c r="H383" s="7"/>
      <c r="I383" s="8" t="str">
        <f>IF(OR($H383="",NOT(ISNUMBER($G383))),"",MIN(DATE(YEAR($H383),MONTH($H383)+$G383,DAY($H383)),DATE(YEAR($H383),MONTH($H383)+$G383+1,0)))</f>
        <v/>
      </c>
      <c r="J383" s="6" t="str">
        <f>IF($I383="","",$I383-TODAY())</f>
        <v/>
      </c>
      <c r="K383" s="9" t="str">
        <f>IF($F383="","",IF(NOT(ISNUMBER($G383)),"Hors champ",IF($H383="","À renseigner",IF($J383&lt;0,"Dépassée",IF($J383&lt;=30,"À planifier","À jour")))))</f>
        <v/>
      </c>
      <c r="L383" s="5"/>
      <c r="M383" s="5"/>
      <c r="N383" s="5"/>
    </row>
    <row r="384" spans="1:14" x14ac:dyDescent="0.25">
      <c r="A384" s="5"/>
      <c r="B384" s="5"/>
      <c r="C384" s="5"/>
      <c r="D384" s="5"/>
      <c r="E384" s="5"/>
      <c r="F384" s="5"/>
      <c r="G384" s="6" t="str">
        <f>IF($F384="","",IF(ISNA(VLOOKUP($F384,'Référentiel VGP'!$A$2:$B$33,2,FALSE)),"",VLOOKUP($F384,'Référentiel VGP'!$A$2:$B$33,2,FALSE)))</f>
        <v/>
      </c>
      <c r="H384" s="7"/>
      <c r="I384" s="8" t="str">
        <f>IF(OR($H384="",NOT(ISNUMBER($G384))),"",MIN(DATE(YEAR($H384),MONTH($H384)+$G384,DAY($H384)),DATE(YEAR($H384),MONTH($H384)+$G384+1,0)))</f>
        <v/>
      </c>
      <c r="J384" s="6" t="str">
        <f>IF($I384="","",$I384-TODAY())</f>
        <v/>
      </c>
      <c r="K384" s="9" t="str">
        <f>IF($F384="","",IF(NOT(ISNUMBER($G384)),"Hors champ",IF($H384="","À renseigner",IF($J384&lt;0,"Dépassée",IF($J384&lt;=30,"À planifier","À jour")))))</f>
        <v/>
      </c>
      <c r="L384" s="5"/>
      <c r="M384" s="5"/>
      <c r="N384" s="5"/>
    </row>
    <row r="385" spans="1:14" x14ac:dyDescent="0.25">
      <c r="A385" s="5"/>
      <c r="B385" s="5"/>
      <c r="C385" s="5"/>
      <c r="D385" s="5"/>
      <c r="E385" s="5"/>
      <c r="F385" s="5"/>
      <c r="G385" s="6" t="str">
        <f>IF($F385="","",IF(ISNA(VLOOKUP($F385,'Référentiel VGP'!$A$2:$B$33,2,FALSE)),"",VLOOKUP($F385,'Référentiel VGP'!$A$2:$B$33,2,FALSE)))</f>
        <v/>
      </c>
      <c r="H385" s="7"/>
      <c r="I385" s="8" t="str">
        <f>IF(OR($H385="",NOT(ISNUMBER($G385))),"",MIN(DATE(YEAR($H385),MONTH($H385)+$G385,DAY($H385)),DATE(YEAR($H385),MONTH($H385)+$G385+1,0)))</f>
        <v/>
      </c>
      <c r="J385" s="6" t="str">
        <f>IF($I385="","",$I385-TODAY())</f>
        <v/>
      </c>
      <c r="K385" s="9" t="str">
        <f>IF($F385="","",IF(NOT(ISNUMBER($G385)),"Hors champ",IF($H385="","À renseigner",IF($J385&lt;0,"Dépassée",IF($J385&lt;=30,"À planifier","À jour")))))</f>
        <v/>
      </c>
      <c r="L385" s="5"/>
      <c r="M385" s="5"/>
      <c r="N385" s="5"/>
    </row>
    <row r="386" spans="1:14" x14ac:dyDescent="0.25">
      <c r="A386" s="5"/>
      <c r="B386" s="5"/>
      <c r="C386" s="5"/>
      <c r="D386" s="5"/>
      <c r="E386" s="5"/>
      <c r="F386" s="5"/>
      <c r="G386" s="6" t="str">
        <f>IF($F386="","",IF(ISNA(VLOOKUP($F386,'Référentiel VGP'!$A$2:$B$33,2,FALSE)),"",VLOOKUP($F386,'Référentiel VGP'!$A$2:$B$33,2,FALSE)))</f>
        <v/>
      </c>
      <c r="H386" s="7"/>
      <c r="I386" s="8" t="str">
        <f>IF(OR($H386="",NOT(ISNUMBER($G386))),"",MIN(DATE(YEAR($H386),MONTH($H386)+$G386,DAY($H386)),DATE(YEAR($H386),MONTH($H386)+$G386+1,0)))</f>
        <v/>
      </c>
      <c r="J386" s="6" t="str">
        <f>IF($I386="","",$I386-TODAY())</f>
        <v/>
      </c>
      <c r="K386" s="9" t="str">
        <f>IF($F386="","",IF(NOT(ISNUMBER($G386)),"Hors champ",IF($H386="","À renseigner",IF($J386&lt;0,"Dépassée",IF($J386&lt;=30,"À planifier","À jour")))))</f>
        <v/>
      </c>
      <c r="L386" s="5"/>
      <c r="M386" s="5"/>
      <c r="N386" s="5"/>
    </row>
    <row r="387" spans="1:14" x14ac:dyDescent="0.25">
      <c r="A387" s="5"/>
      <c r="B387" s="5"/>
      <c r="C387" s="5"/>
      <c r="D387" s="5"/>
      <c r="E387" s="5"/>
      <c r="F387" s="5"/>
      <c r="G387" s="6" t="str">
        <f>IF($F387="","",IF(ISNA(VLOOKUP($F387,'Référentiel VGP'!$A$2:$B$33,2,FALSE)),"",VLOOKUP($F387,'Référentiel VGP'!$A$2:$B$33,2,FALSE)))</f>
        <v/>
      </c>
      <c r="H387" s="7"/>
      <c r="I387" s="8" t="str">
        <f>IF(OR($H387="",NOT(ISNUMBER($G387))),"",MIN(DATE(YEAR($H387),MONTH($H387)+$G387,DAY($H387)),DATE(YEAR($H387),MONTH($H387)+$G387+1,0)))</f>
        <v/>
      </c>
      <c r="J387" s="6" t="str">
        <f>IF($I387="","",$I387-TODAY())</f>
        <v/>
      </c>
      <c r="K387" s="9" t="str">
        <f>IF($F387="","",IF(NOT(ISNUMBER($G387)),"Hors champ",IF($H387="","À renseigner",IF($J387&lt;0,"Dépassée",IF($J387&lt;=30,"À planifier","À jour")))))</f>
        <v/>
      </c>
      <c r="L387" s="5"/>
      <c r="M387" s="5"/>
      <c r="N387" s="5"/>
    </row>
    <row r="388" spans="1:14" x14ac:dyDescent="0.25">
      <c r="A388" s="5"/>
      <c r="B388" s="5"/>
      <c r="C388" s="5"/>
      <c r="D388" s="5"/>
      <c r="E388" s="5"/>
      <c r="F388" s="5"/>
      <c r="G388" s="6" t="str">
        <f>IF($F388="","",IF(ISNA(VLOOKUP($F388,'Référentiel VGP'!$A$2:$B$33,2,FALSE)),"",VLOOKUP($F388,'Référentiel VGP'!$A$2:$B$33,2,FALSE)))</f>
        <v/>
      </c>
      <c r="H388" s="7"/>
      <c r="I388" s="8" t="str">
        <f>IF(OR($H388="",NOT(ISNUMBER($G388))),"",MIN(DATE(YEAR($H388),MONTH($H388)+$G388,DAY($H388)),DATE(YEAR($H388),MONTH($H388)+$G388+1,0)))</f>
        <v/>
      </c>
      <c r="J388" s="6" t="str">
        <f>IF($I388="","",$I388-TODAY())</f>
        <v/>
      </c>
      <c r="K388" s="9" t="str">
        <f>IF($F388="","",IF(NOT(ISNUMBER($G388)),"Hors champ",IF($H388="","À renseigner",IF($J388&lt;0,"Dépassée",IF($J388&lt;=30,"À planifier","À jour")))))</f>
        <v/>
      </c>
      <c r="L388" s="5"/>
      <c r="M388" s="5"/>
      <c r="N388" s="5"/>
    </row>
    <row r="389" spans="1:14" x14ac:dyDescent="0.25">
      <c r="A389" s="5"/>
      <c r="B389" s="5"/>
      <c r="C389" s="5"/>
      <c r="D389" s="5"/>
      <c r="E389" s="5"/>
      <c r="F389" s="5"/>
      <c r="G389" s="6" t="str">
        <f>IF($F389="","",IF(ISNA(VLOOKUP($F389,'Référentiel VGP'!$A$2:$B$33,2,FALSE)),"",VLOOKUP($F389,'Référentiel VGP'!$A$2:$B$33,2,FALSE)))</f>
        <v/>
      </c>
      <c r="H389" s="7"/>
      <c r="I389" s="8" t="str">
        <f>IF(OR($H389="",NOT(ISNUMBER($G389))),"",MIN(DATE(YEAR($H389),MONTH($H389)+$G389,DAY($H389)),DATE(YEAR($H389),MONTH($H389)+$G389+1,0)))</f>
        <v/>
      </c>
      <c r="J389" s="6" t="str">
        <f>IF($I389="","",$I389-TODAY())</f>
        <v/>
      </c>
      <c r="K389" s="9" t="str">
        <f>IF($F389="","",IF(NOT(ISNUMBER($G389)),"Hors champ",IF($H389="","À renseigner",IF($J389&lt;0,"Dépassée",IF($J389&lt;=30,"À planifier","À jour")))))</f>
        <v/>
      </c>
      <c r="L389" s="5"/>
      <c r="M389" s="5"/>
      <c r="N389" s="5"/>
    </row>
    <row r="390" spans="1:14" x14ac:dyDescent="0.25">
      <c r="A390" s="5"/>
      <c r="B390" s="5"/>
      <c r="C390" s="5"/>
      <c r="D390" s="5"/>
      <c r="E390" s="5"/>
      <c r="F390" s="5"/>
      <c r="G390" s="6" t="str">
        <f>IF($F390="","",IF(ISNA(VLOOKUP($F390,'Référentiel VGP'!$A$2:$B$33,2,FALSE)),"",VLOOKUP($F390,'Référentiel VGP'!$A$2:$B$33,2,FALSE)))</f>
        <v/>
      </c>
      <c r="H390" s="7"/>
      <c r="I390" s="8" t="str">
        <f>IF(OR($H390="",NOT(ISNUMBER($G390))),"",MIN(DATE(YEAR($H390),MONTH($H390)+$G390,DAY($H390)),DATE(YEAR($H390),MONTH($H390)+$G390+1,0)))</f>
        <v/>
      </c>
      <c r="J390" s="6" t="str">
        <f>IF($I390="","",$I390-TODAY())</f>
        <v/>
      </c>
      <c r="K390" s="9" t="str">
        <f>IF($F390="","",IF(NOT(ISNUMBER($G390)),"Hors champ",IF($H390="","À renseigner",IF($J390&lt;0,"Dépassée",IF($J390&lt;=30,"À planifier","À jour")))))</f>
        <v/>
      </c>
      <c r="L390" s="5"/>
      <c r="M390" s="5"/>
      <c r="N390" s="5"/>
    </row>
    <row r="391" spans="1:14" x14ac:dyDescent="0.25">
      <c r="A391" s="5"/>
      <c r="B391" s="5"/>
      <c r="C391" s="5"/>
      <c r="D391" s="5"/>
      <c r="E391" s="5"/>
      <c r="F391" s="5"/>
      <c r="G391" s="6" t="str">
        <f>IF($F391="","",IF(ISNA(VLOOKUP($F391,'Référentiel VGP'!$A$2:$B$33,2,FALSE)),"",VLOOKUP($F391,'Référentiel VGP'!$A$2:$B$33,2,FALSE)))</f>
        <v/>
      </c>
      <c r="H391" s="7"/>
      <c r="I391" s="8" t="str">
        <f>IF(OR($H391="",NOT(ISNUMBER($G391))),"",MIN(DATE(YEAR($H391),MONTH($H391)+$G391,DAY($H391)),DATE(YEAR($H391),MONTH($H391)+$G391+1,0)))</f>
        <v/>
      </c>
      <c r="J391" s="6" t="str">
        <f>IF($I391="","",$I391-TODAY())</f>
        <v/>
      </c>
      <c r="K391" s="9" t="str">
        <f>IF($F391="","",IF(NOT(ISNUMBER($G391)),"Hors champ",IF($H391="","À renseigner",IF($J391&lt;0,"Dépassée",IF($J391&lt;=30,"À planifier","À jour")))))</f>
        <v/>
      </c>
      <c r="L391" s="5"/>
      <c r="M391" s="5"/>
      <c r="N391" s="5"/>
    </row>
    <row r="392" spans="1:14" x14ac:dyDescent="0.25">
      <c r="A392" s="5"/>
      <c r="B392" s="5"/>
      <c r="C392" s="5"/>
      <c r="D392" s="5"/>
      <c r="E392" s="5"/>
      <c r="F392" s="5"/>
      <c r="G392" s="6" t="str">
        <f>IF($F392="","",IF(ISNA(VLOOKUP($F392,'Référentiel VGP'!$A$2:$B$33,2,FALSE)),"",VLOOKUP($F392,'Référentiel VGP'!$A$2:$B$33,2,FALSE)))</f>
        <v/>
      </c>
      <c r="H392" s="7"/>
      <c r="I392" s="8" t="str">
        <f>IF(OR($H392="",NOT(ISNUMBER($G392))),"",MIN(DATE(YEAR($H392),MONTH($H392)+$G392,DAY($H392)),DATE(YEAR($H392),MONTH($H392)+$G392+1,0)))</f>
        <v/>
      </c>
      <c r="J392" s="6" t="str">
        <f>IF($I392="","",$I392-TODAY())</f>
        <v/>
      </c>
      <c r="K392" s="9" t="str">
        <f>IF($F392="","",IF(NOT(ISNUMBER($G392)),"Hors champ",IF($H392="","À renseigner",IF($J392&lt;0,"Dépassée",IF($J392&lt;=30,"À planifier","À jour")))))</f>
        <v/>
      </c>
      <c r="L392" s="5"/>
      <c r="M392" s="5"/>
      <c r="N392" s="5"/>
    </row>
    <row r="393" spans="1:14" x14ac:dyDescent="0.25">
      <c r="A393" s="5"/>
      <c r="B393" s="5"/>
      <c r="C393" s="5"/>
      <c r="D393" s="5"/>
      <c r="E393" s="5"/>
      <c r="F393" s="5"/>
      <c r="G393" s="6" t="str">
        <f>IF($F393="","",IF(ISNA(VLOOKUP($F393,'Référentiel VGP'!$A$2:$B$33,2,FALSE)),"",VLOOKUP($F393,'Référentiel VGP'!$A$2:$B$33,2,FALSE)))</f>
        <v/>
      </c>
      <c r="H393" s="7"/>
      <c r="I393" s="8" t="str">
        <f>IF(OR($H393="",NOT(ISNUMBER($G393))),"",MIN(DATE(YEAR($H393),MONTH($H393)+$G393,DAY($H393)),DATE(YEAR($H393),MONTH($H393)+$G393+1,0)))</f>
        <v/>
      </c>
      <c r="J393" s="6" t="str">
        <f>IF($I393="","",$I393-TODAY())</f>
        <v/>
      </c>
      <c r="K393" s="9" t="str">
        <f>IF($F393="","",IF(NOT(ISNUMBER($G393)),"Hors champ",IF($H393="","À renseigner",IF($J393&lt;0,"Dépassée",IF($J393&lt;=30,"À planifier","À jour")))))</f>
        <v/>
      </c>
      <c r="L393" s="5"/>
      <c r="M393" s="5"/>
      <c r="N393" s="5"/>
    </row>
    <row r="394" spans="1:14" x14ac:dyDescent="0.25">
      <c r="A394" s="5"/>
      <c r="B394" s="5"/>
      <c r="C394" s="5"/>
      <c r="D394" s="5"/>
      <c r="E394" s="5"/>
      <c r="F394" s="5"/>
      <c r="G394" s="6" t="str">
        <f>IF($F394="","",IF(ISNA(VLOOKUP($F394,'Référentiel VGP'!$A$2:$B$33,2,FALSE)),"",VLOOKUP($F394,'Référentiel VGP'!$A$2:$B$33,2,FALSE)))</f>
        <v/>
      </c>
      <c r="H394" s="7"/>
      <c r="I394" s="8" t="str">
        <f>IF(OR($H394="",NOT(ISNUMBER($G394))),"",MIN(DATE(YEAR($H394),MONTH($H394)+$G394,DAY($H394)),DATE(YEAR($H394),MONTH($H394)+$G394+1,0)))</f>
        <v/>
      </c>
      <c r="J394" s="6" t="str">
        <f>IF($I394="","",$I394-TODAY())</f>
        <v/>
      </c>
      <c r="K394" s="9" t="str">
        <f>IF($F394="","",IF(NOT(ISNUMBER($G394)),"Hors champ",IF($H394="","À renseigner",IF($J394&lt;0,"Dépassée",IF($J394&lt;=30,"À planifier","À jour")))))</f>
        <v/>
      </c>
      <c r="L394" s="5"/>
      <c r="M394" s="5"/>
      <c r="N394" s="5"/>
    </row>
    <row r="395" spans="1:14" x14ac:dyDescent="0.25">
      <c r="A395" s="5"/>
      <c r="B395" s="5"/>
      <c r="C395" s="5"/>
      <c r="D395" s="5"/>
      <c r="E395" s="5"/>
      <c r="F395" s="5"/>
      <c r="G395" s="6" t="str">
        <f>IF($F395="","",IF(ISNA(VLOOKUP($F395,'Référentiel VGP'!$A$2:$B$33,2,FALSE)),"",VLOOKUP($F395,'Référentiel VGP'!$A$2:$B$33,2,FALSE)))</f>
        <v/>
      </c>
      <c r="H395" s="7"/>
      <c r="I395" s="8" t="str">
        <f>IF(OR($H395="",NOT(ISNUMBER($G395))),"",MIN(DATE(YEAR($H395),MONTH($H395)+$G395,DAY($H395)),DATE(YEAR($H395),MONTH($H395)+$G395+1,0)))</f>
        <v/>
      </c>
      <c r="J395" s="6" t="str">
        <f>IF($I395="","",$I395-TODAY())</f>
        <v/>
      </c>
      <c r="K395" s="9" t="str">
        <f>IF($F395="","",IF(NOT(ISNUMBER($G395)),"Hors champ",IF($H395="","À renseigner",IF($J395&lt;0,"Dépassée",IF($J395&lt;=30,"À planifier","À jour")))))</f>
        <v/>
      </c>
      <c r="L395" s="5"/>
      <c r="M395" s="5"/>
      <c r="N395" s="5"/>
    </row>
    <row r="396" spans="1:14" x14ac:dyDescent="0.25">
      <c r="A396" s="5"/>
      <c r="B396" s="5"/>
      <c r="C396" s="5"/>
      <c r="D396" s="5"/>
      <c r="E396" s="5"/>
      <c r="F396" s="5"/>
      <c r="G396" s="6" t="str">
        <f>IF($F396="","",IF(ISNA(VLOOKUP($F396,'Référentiel VGP'!$A$2:$B$33,2,FALSE)),"",VLOOKUP($F396,'Référentiel VGP'!$A$2:$B$33,2,FALSE)))</f>
        <v/>
      </c>
      <c r="H396" s="7"/>
      <c r="I396" s="8" t="str">
        <f>IF(OR($H396="",NOT(ISNUMBER($G396))),"",MIN(DATE(YEAR($H396),MONTH($H396)+$G396,DAY($H396)),DATE(YEAR($H396),MONTH($H396)+$G396+1,0)))</f>
        <v/>
      </c>
      <c r="J396" s="6" t="str">
        <f>IF($I396="","",$I396-TODAY())</f>
        <v/>
      </c>
      <c r="K396" s="9" t="str">
        <f>IF($F396="","",IF(NOT(ISNUMBER($G396)),"Hors champ",IF($H396="","À renseigner",IF($J396&lt;0,"Dépassée",IF($J396&lt;=30,"À planifier","À jour")))))</f>
        <v/>
      </c>
      <c r="L396" s="5"/>
      <c r="M396" s="5"/>
      <c r="N396" s="5"/>
    </row>
    <row r="397" spans="1:14" x14ac:dyDescent="0.25">
      <c r="A397" s="5"/>
      <c r="B397" s="5"/>
      <c r="C397" s="5"/>
      <c r="D397" s="5"/>
      <c r="E397" s="5"/>
      <c r="F397" s="5"/>
      <c r="G397" s="6" t="str">
        <f>IF($F397="","",IF(ISNA(VLOOKUP($F397,'Référentiel VGP'!$A$2:$B$33,2,FALSE)),"",VLOOKUP($F397,'Référentiel VGP'!$A$2:$B$33,2,FALSE)))</f>
        <v/>
      </c>
      <c r="H397" s="7"/>
      <c r="I397" s="8" t="str">
        <f>IF(OR($H397="",NOT(ISNUMBER($G397))),"",MIN(DATE(YEAR($H397),MONTH($H397)+$G397,DAY($H397)),DATE(YEAR($H397),MONTH($H397)+$G397+1,0)))</f>
        <v/>
      </c>
      <c r="J397" s="6" t="str">
        <f>IF($I397="","",$I397-TODAY())</f>
        <v/>
      </c>
      <c r="K397" s="9" t="str">
        <f>IF($F397="","",IF(NOT(ISNUMBER($G397)),"Hors champ",IF($H397="","À renseigner",IF($J397&lt;0,"Dépassée",IF($J397&lt;=30,"À planifier","À jour")))))</f>
        <v/>
      </c>
      <c r="L397" s="5"/>
      <c r="M397" s="5"/>
      <c r="N397" s="5"/>
    </row>
    <row r="398" spans="1:14" x14ac:dyDescent="0.25">
      <c r="A398" s="5"/>
      <c r="B398" s="5"/>
      <c r="C398" s="5"/>
      <c r="D398" s="5"/>
      <c r="E398" s="5"/>
      <c r="F398" s="5"/>
      <c r="G398" s="6" t="str">
        <f>IF($F398="","",IF(ISNA(VLOOKUP($F398,'Référentiel VGP'!$A$2:$B$33,2,FALSE)),"",VLOOKUP($F398,'Référentiel VGP'!$A$2:$B$33,2,FALSE)))</f>
        <v/>
      </c>
      <c r="H398" s="7"/>
      <c r="I398" s="8" t="str">
        <f>IF(OR($H398="",NOT(ISNUMBER($G398))),"",MIN(DATE(YEAR($H398),MONTH($H398)+$G398,DAY($H398)),DATE(YEAR($H398),MONTH($H398)+$G398+1,0)))</f>
        <v/>
      </c>
      <c r="J398" s="6" t="str">
        <f>IF($I398="","",$I398-TODAY())</f>
        <v/>
      </c>
      <c r="K398" s="9" t="str">
        <f>IF($F398="","",IF(NOT(ISNUMBER($G398)),"Hors champ",IF($H398="","À renseigner",IF($J398&lt;0,"Dépassée",IF($J398&lt;=30,"À planifier","À jour")))))</f>
        <v/>
      </c>
      <c r="L398" s="5"/>
      <c r="M398" s="5"/>
      <c r="N398" s="5"/>
    </row>
    <row r="399" spans="1:14" x14ac:dyDescent="0.25">
      <c r="A399" s="5"/>
      <c r="B399" s="5"/>
      <c r="C399" s="5"/>
      <c r="D399" s="5"/>
      <c r="E399" s="5"/>
      <c r="F399" s="5"/>
      <c r="G399" s="6" t="str">
        <f>IF($F399="","",IF(ISNA(VLOOKUP($F399,'Référentiel VGP'!$A$2:$B$33,2,FALSE)),"",VLOOKUP($F399,'Référentiel VGP'!$A$2:$B$33,2,FALSE)))</f>
        <v/>
      </c>
      <c r="H399" s="7"/>
      <c r="I399" s="8" t="str">
        <f>IF(OR($H399="",NOT(ISNUMBER($G399))),"",MIN(DATE(YEAR($H399),MONTH($H399)+$G399,DAY($H399)),DATE(YEAR($H399),MONTH($H399)+$G399+1,0)))</f>
        <v/>
      </c>
      <c r="J399" s="6" t="str">
        <f>IF($I399="","",$I399-TODAY())</f>
        <v/>
      </c>
      <c r="K399" s="9" t="str">
        <f>IF($F399="","",IF(NOT(ISNUMBER($G399)),"Hors champ",IF($H399="","À renseigner",IF($J399&lt;0,"Dépassée",IF($J399&lt;=30,"À planifier","À jour")))))</f>
        <v/>
      </c>
      <c r="L399" s="5"/>
      <c r="M399" s="5"/>
      <c r="N399" s="5"/>
    </row>
    <row r="400" spans="1:14" x14ac:dyDescent="0.25">
      <c r="A400" s="5"/>
      <c r="B400" s="5"/>
      <c r="C400" s="5"/>
      <c r="D400" s="5"/>
      <c r="E400" s="5"/>
      <c r="F400" s="5"/>
      <c r="G400" s="6" t="str">
        <f>IF($F400="","",IF(ISNA(VLOOKUP($F400,'Référentiel VGP'!$A$2:$B$33,2,FALSE)),"",VLOOKUP($F400,'Référentiel VGP'!$A$2:$B$33,2,FALSE)))</f>
        <v/>
      </c>
      <c r="H400" s="7"/>
      <c r="I400" s="8" t="str">
        <f>IF(OR($H400="",NOT(ISNUMBER($G400))),"",MIN(DATE(YEAR($H400),MONTH($H400)+$G400,DAY($H400)),DATE(YEAR($H400),MONTH($H400)+$G400+1,0)))</f>
        <v/>
      </c>
      <c r="J400" s="6" t="str">
        <f>IF($I400="","",$I400-TODAY())</f>
        <v/>
      </c>
      <c r="K400" s="9" t="str">
        <f>IF($F400="","",IF(NOT(ISNUMBER($G400)),"Hors champ",IF($H400="","À renseigner",IF($J400&lt;0,"Dépassée",IF($J400&lt;=30,"À planifier","À jour")))))</f>
        <v/>
      </c>
      <c r="L400" s="5"/>
      <c r="M400" s="5"/>
      <c r="N400" s="5"/>
    </row>
    <row r="401" spans="1:14" x14ac:dyDescent="0.25">
      <c r="A401" s="5"/>
      <c r="B401" s="5"/>
      <c r="C401" s="5"/>
      <c r="D401" s="5"/>
      <c r="E401" s="5"/>
      <c r="F401" s="5"/>
      <c r="G401" s="6" t="str">
        <f>IF($F401="","",IF(ISNA(VLOOKUP($F401,'Référentiel VGP'!$A$2:$B$33,2,FALSE)),"",VLOOKUP($F401,'Référentiel VGP'!$A$2:$B$33,2,FALSE)))</f>
        <v/>
      </c>
      <c r="H401" s="7"/>
      <c r="I401" s="8" t="str">
        <f>IF(OR($H401="",NOT(ISNUMBER($G401))),"",MIN(DATE(YEAR($H401),MONTH($H401)+$G401,DAY($H401)),DATE(YEAR($H401),MONTH($H401)+$G401+1,0)))</f>
        <v/>
      </c>
      <c r="J401" s="6" t="str">
        <f>IF($I401="","",$I401-TODAY())</f>
        <v/>
      </c>
      <c r="K401" s="9" t="str">
        <f>IF($F401="","",IF(NOT(ISNUMBER($G401)),"Hors champ",IF($H401="","À renseigner",IF($J401&lt;0,"Dépassée",IF($J401&lt;=30,"À planifier","À jour")))))</f>
        <v/>
      </c>
      <c r="L401" s="5"/>
      <c r="M401" s="5"/>
      <c r="N401" s="5"/>
    </row>
    <row r="402" spans="1:14" x14ac:dyDescent="0.25">
      <c r="A402" s="5"/>
      <c r="B402" s="5"/>
      <c r="C402" s="5"/>
      <c r="D402" s="5"/>
      <c r="E402" s="5"/>
      <c r="F402" s="5"/>
      <c r="G402" s="6" t="str">
        <f>IF($F402="","",IF(ISNA(VLOOKUP($F402,'Référentiel VGP'!$A$2:$B$33,2,FALSE)),"",VLOOKUP($F402,'Référentiel VGP'!$A$2:$B$33,2,FALSE)))</f>
        <v/>
      </c>
      <c r="H402" s="7"/>
      <c r="I402" s="8" t="str">
        <f>IF(OR($H402="",NOT(ISNUMBER($G402))),"",MIN(DATE(YEAR($H402),MONTH($H402)+$G402,DAY($H402)),DATE(YEAR($H402),MONTH($H402)+$G402+1,0)))</f>
        <v/>
      </c>
      <c r="J402" s="6" t="str">
        <f>IF($I402="","",$I402-TODAY())</f>
        <v/>
      </c>
      <c r="K402" s="9" t="str">
        <f>IF($F402="","",IF(NOT(ISNUMBER($G402)),"Hors champ",IF($H402="","À renseigner",IF($J402&lt;0,"Dépassée",IF($J402&lt;=30,"À planifier","À jour")))))</f>
        <v/>
      </c>
      <c r="L402" s="5"/>
      <c r="M402" s="5"/>
      <c r="N402" s="5"/>
    </row>
    <row r="403" spans="1:14" x14ac:dyDescent="0.25">
      <c r="A403" s="5"/>
      <c r="B403" s="5"/>
      <c r="C403" s="5"/>
      <c r="D403" s="5"/>
      <c r="E403" s="5"/>
      <c r="F403" s="5"/>
      <c r="G403" s="6" t="str">
        <f>IF($F403="","",IF(ISNA(VLOOKUP($F403,'Référentiel VGP'!$A$2:$B$33,2,FALSE)),"",VLOOKUP($F403,'Référentiel VGP'!$A$2:$B$33,2,FALSE)))</f>
        <v/>
      </c>
      <c r="H403" s="7"/>
      <c r="I403" s="8" t="str">
        <f>IF(OR($H403="",NOT(ISNUMBER($G403))),"",MIN(DATE(YEAR($H403),MONTH($H403)+$G403,DAY($H403)),DATE(YEAR($H403),MONTH($H403)+$G403+1,0)))</f>
        <v/>
      </c>
      <c r="J403" s="6" t="str">
        <f>IF($I403="","",$I403-TODAY())</f>
        <v/>
      </c>
      <c r="K403" s="9" t="str">
        <f>IF($F403="","",IF(NOT(ISNUMBER($G403)),"Hors champ",IF($H403="","À renseigner",IF($J403&lt;0,"Dépassée",IF($J403&lt;=30,"À planifier","À jour")))))</f>
        <v/>
      </c>
      <c r="L403" s="5"/>
      <c r="M403" s="5"/>
      <c r="N403" s="5"/>
    </row>
    <row r="404" spans="1:14" x14ac:dyDescent="0.25">
      <c r="A404" s="5"/>
      <c r="B404" s="5"/>
      <c r="C404" s="5"/>
      <c r="D404" s="5"/>
      <c r="E404" s="5"/>
      <c r="F404" s="5"/>
      <c r="G404" s="6" t="str">
        <f>IF($F404="","",IF(ISNA(VLOOKUP($F404,'Référentiel VGP'!$A$2:$B$33,2,FALSE)),"",VLOOKUP($F404,'Référentiel VGP'!$A$2:$B$33,2,FALSE)))</f>
        <v/>
      </c>
      <c r="H404" s="7"/>
      <c r="I404" s="8" t="str">
        <f>IF(OR($H404="",NOT(ISNUMBER($G404))),"",MIN(DATE(YEAR($H404),MONTH($H404)+$G404,DAY($H404)),DATE(YEAR($H404),MONTH($H404)+$G404+1,0)))</f>
        <v/>
      </c>
      <c r="J404" s="6" t="str">
        <f>IF($I404="","",$I404-TODAY())</f>
        <v/>
      </c>
      <c r="K404" s="9" t="str">
        <f>IF($F404="","",IF(NOT(ISNUMBER($G404)),"Hors champ",IF($H404="","À renseigner",IF($J404&lt;0,"Dépassée",IF($J404&lt;=30,"À planifier","À jour")))))</f>
        <v/>
      </c>
      <c r="L404" s="5"/>
      <c r="M404" s="5"/>
      <c r="N404" s="5"/>
    </row>
    <row r="405" spans="1:14" x14ac:dyDescent="0.25">
      <c r="A405" s="5"/>
      <c r="B405" s="5"/>
      <c r="C405" s="5"/>
      <c r="D405" s="5"/>
      <c r="E405" s="5"/>
      <c r="F405" s="5"/>
      <c r="G405" s="6" t="str">
        <f>IF($F405="","",IF(ISNA(VLOOKUP($F405,'Référentiel VGP'!$A$2:$B$33,2,FALSE)),"",VLOOKUP($F405,'Référentiel VGP'!$A$2:$B$33,2,FALSE)))</f>
        <v/>
      </c>
      <c r="H405" s="7"/>
      <c r="I405" s="8" t="str">
        <f>IF(OR($H405="",NOT(ISNUMBER($G405))),"",MIN(DATE(YEAR($H405),MONTH($H405)+$G405,DAY($H405)),DATE(YEAR($H405),MONTH($H405)+$G405+1,0)))</f>
        <v/>
      </c>
      <c r="J405" s="6" t="str">
        <f>IF($I405="","",$I405-TODAY())</f>
        <v/>
      </c>
      <c r="K405" s="9" t="str">
        <f>IF($F405="","",IF(NOT(ISNUMBER($G405)),"Hors champ",IF($H405="","À renseigner",IF($J405&lt;0,"Dépassée",IF($J405&lt;=30,"À planifier","À jour")))))</f>
        <v/>
      </c>
      <c r="L405" s="5"/>
      <c r="M405" s="5"/>
      <c r="N405" s="5"/>
    </row>
    <row r="406" spans="1:14" x14ac:dyDescent="0.25">
      <c r="A406" s="5"/>
      <c r="B406" s="5"/>
      <c r="C406" s="5"/>
      <c r="D406" s="5"/>
      <c r="E406" s="5"/>
      <c r="F406" s="5"/>
      <c r="G406" s="6" t="str">
        <f>IF($F406="","",IF(ISNA(VLOOKUP($F406,'Référentiel VGP'!$A$2:$B$33,2,FALSE)),"",VLOOKUP($F406,'Référentiel VGP'!$A$2:$B$33,2,FALSE)))</f>
        <v/>
      </c>
      <c r="H406" s="7"/>
      <c r="I406" s="8" t="str">
        <f>IF(OR($H406="",NOT(ISNUMBER($G406))),"",MIN(DATE(YEAR($H406),MONTH($H406)+$G406,DAY($H406)),DATE(YEAR($H406),MONTH($H406)+$G406+1,0)))</f>
        <v/>
      </c>
      <c r="J406" s="6" t="str">
        <f>IF($I406="","",$I406-TODAY())</f>
        <v/>
      </c>
      <c r="K406" s="9" t="str">
        <f>IF($F406="","",IF(NOT(ISNUMBER($G406)),"Hors champ",IF($H406="","À renseigner",IF($J406&lt;0,"Dépassée",IF($J406&lt;=30,"À planifier","À jour")))))</f>
        <v/>
      </c>
      <c r="L406" s="5"/>
      <c r="M406" s="5"/>
      <c r="N406" s="5"/>
    </row>
    <row r="407" spans="1:14" x14ac:dyDescent="0.25">
      <c r="A407" s="5"/>
      <c r="B407" s="5"/>
      <c r="C407" s="5"/>
      <c r="D407" s="5"/>
      <c r="E407" s="5"/>
      <c r="F407" s="5"/>
      <c r="G407" s="6" t="str">
        <f>IF($F407="","",IF(ISNA(VLOOKUP($F407,'Référentiel VGP'!$A$2:$B$33,2,FALSE)),"",VLOOKUP($F407,'Référentiel VGP'!$A$2:$B$33,2,FALSE)))</f>
        <v/>
      </c>
      <c r="H407" s="7"/>
      <c r="I407" s="8" t="str">
        <f>IF(OR($H407="",NOT(ISNUMBER($G407))),"",MIN(DATE(YEAR($H407),MONTH($H407)+$G407,DAY($H407)),DATE(YEAR($H407),MONTH($H407)+$G407+1,0)))</f>
        <v/>
      </c>
      <c r="J407" s="6" t="str">
        <f>IF($I407="","",$I407-TODAY())</f>
        <v/>
      </c>
      <c r="K407" s="9" t="str">
        <f>IF($F407="","",IF(NOT(ISNUMBER($G407)),"Hors champ",IF($H407="","À renseigner",IF($J407&lt;0,"Dépassée",IF($J407&lt;=30,"À planifier","À jour")))))</f>
        <v/>
      </c>
      <c r="L407" s="5"/>
      <c r="M407" s="5"/>
      <c r="N407" s="5"/>
    </row>
    <row r="408" spans="1:14" x14ac:dyDescent="0.25">
      <c r="A408" s="5"/>
      <c r="B408" s="5"/>
      <c r="C408" s="5"/>
      <c r="D408" s="5"/>
      <c r="E408" s="5"/>
      <c r="F408" s="5"/>
      <c r="G408" s="6" t="str">
        <f>IF($F408="","",IF(ISNA(VLOOKUP($F408,'Référentiel VGP'!$A$2:$B$33,2,FALSE)),"",VLOOKUP($F408,'Référentiel VGP'!$A$2:$B$33,2,FALSE)))</f>
        <v/>
      </c>
      <c r="H408" s="7"/>
      <c r="I408" s="8" t="str">
        <f>IF(OR($H408="",NOT(ISNUMBER($G408))),"",MIN(DATE(YEAR($H408),MONTH($H408)+$G408,DAY($H408)),DATE(YEAR($H408),MONTH($H408)+$G408+1,0)))</f>
        <v/>
      </c>
      <c r="J408" s="6" t="str">
        <f>IF($I408="","",$I408-TODAY())</f>
        <v/>
      </c>
      <c r="K408" s="9" t="str">
        <f>IF($F408="","",IF(NOT(ISNUMBER($G408)),"Hors champ",IF($H408="","À renseigner",IF($J408&lt;0,"Dépassée",IF($J408&lt;=30,"À planifier","À jour")))))</f>
        <v/>
      </c>
      <c r="L408" s="5"/>
      <c r="M408" s="5"/>
      <c r="N408" s="5"/>
    </row>
    <row r="409" spans="1:14" x14ac:dyDescent="0.25">
      <c r="A409" s="5"/>
      <c r="B409" s="5"/>
      <c r="C409" s="5"/>
      <c r="D409" s="5"/>
      <c r="E409" s="5"/>
      <c r="F409" s="5"/>
      <c r="G409" s="6" t="str">
        <f>IF($F409="","",IF(ISNA(VLOOKUP($F409,'Référentiel VGP'!$A$2:$B$33,2,FALSE)),"",VLOOKUP($F409,'Référentiel VGP'!$A$2:$B$33,2,FALSE)))</f>
        <v/>
      </c>
      <c r="H409" s="7"/>
      <c r="I409" s="8" t="str">
        <f>IF(OR($H409="",NOT(ISNUMBER($G409))),"",MIN(DATE(YEAR($H409),MONTH($H409)+$G409,DAY($H409)),DATE(YEAR($H409),MONTH($H409)+$G409+1,0)))</f>
        <v/>
      </c>
      <c r="J409" s="6" t="str">
        <f>IF($I409="","",$I409-TODAY())</f>
        <v/>
      </c>
      <c r="K409" s="9" t="str">
        <f>IF($F409="","",IF(NOT(ISNUMBER($G409)),"Hors champ",IF($H409="","À renseigner",IF($J409&lt;0,"Dépassée",IF($J409&lt;=30,"À planifier","À jour")))))</f>
        <v/>
      </c>
      <c r="L409" s="5"/>
      <c r="M409" s="5"/>
      <c r="N409" s="5"/>
    </row>
    <row r="410" spans="1:14" x14ac:dyDescent="0.25">
      <c r="A410" s="5"/>
      <c r="B410" s="5"/>
      <c r="C410" s="5"/>
      <c r="D410" s="5"/>
      <c r="E410" s="5"/>
      <c r="F410" s="5"/>
      <c r="G410" s="6" t="str">
        <f>IF($F410="","",IF(ISNA(VLOOKUP($F410,'Référentiel VGP'!$A$2:$B$33,2,FALSE)),"",VLOOKUP($F410,'Référentiel VGP'!$A$2:$B$33,2,FALSE)))</f>
        <v/>
      </c>
      <c r="H410" s="7"/>
      <c r="I410" s="8" t="str">
        <f>IF(OR($H410="",NOT(ISNUMBER($G410))),"",MIN(DATE(YEAR($H410),MONTH($H410)+$G410,DAY($H410)),DATE(YEAR($H410),MONTH($H410)+$G410+1,0)))</f>
        <v/>
      </c>
      <c r="J410" s="6" t="str">
        <f>IF($I410="","",$I410-TODAY())</f>
        <v/>
      </c>
      <c r="K410" s="9" t="str">
        <f>IF($F410="","",IF(NOT(ISNUMBER($G410)),"Hors champ",IF($H410="","À renseigner",IF($J410&lt;0,"Dépassée",IF($J410&lt;=30,"À planifier","À jour")))))</f>
        <v/>
      </c>
      <c r="L410" s="5"/>
      <c r="M410" s="5"/>
      <c r="N410" s="5"/>
    </row>
    <row r="411" spans="1:14" x14ac:dyDescent="0.25">
      <c r="A411" s="5"/>
      <c r="B411" s="5"/>
      <c r="C411" s="5"/>
      <c r="D411" s="5"/>
      <c r="E411" s="5"/>
      <c r="F411" s="5"/>
      <c r="G411" s="6" t="str">
        <f>IF($F411="","",IF(ISNA(VLOOKUP($F411,'Référentiel VGP'!$A$2:$B$33,2,FALSE)),"",VLOOKUP($F411,'Référentiel VGP'!$A$2:$B$33,2,FALSE)))</f>
        <v/>
      </c>
      <c r="H411" s="7"/>
      <c r="I411" s="8" t="str">
        <f>IF(OR($H411="",NOT(ISNUMBER($G411))),"",MIN(DATE(YEAR($H411),MONTH($H411)+$G411,DAY($H411)),DATE(YEAR($H411),MONTH($H411)+$G411+1,0)))</f>
        <v/>
      </c>
      <c r="J411" s="6" t="str">
        <f>IF($I411="","",$I411-TODAY())</f>
        <v/>
      </c>
      <c r="K411" s="9" t="str">
        <f>IF($F411="","",IF(NOT(ISNUMBER($G411)),"Hors champ",IF($H411="","À renseigner",IF($J411&lt;0,"Dépassée",IF($J411&lt;=30,"À planifier","À jour")))))</f>
        <v/>
      </c>
      <c r="L411" s="5"/>
      <c r="M411" s="5"/>
      <c r="N411" s="5"/>
    </row>
    <row r="412" spans="1:14" x14ac:dyDescent="0.25">
      <c r="A412" s="5"/>
      <c r="B412" s="5"/>
      <c r="C412" s="5"/>
      <c r="D412" s="5"/>
      <c r="E412" s="5"/>
      <c r="F412" s="5"/>
      <c r="G412" s="6" t="str">
        <f>IF($F412="","",IF(ISNA(VLOOKUP($F412,'Référentiel VGP'!$A$2:$B$33,2,FALSE)),"",VLOOKUP($F412,'Référentiel VGP'!$A$2:$B$33,2,FALSE)))</f>
        <v/>
      </c>
      <c r="H412" s="7"/>
      <c r="I412" s="8" t="str">
        <f>IF(OR($H412="",NOT(ISNUMBER($G412))),"",MIN(DATE(YEAR($H412),MONTH($H412)+$G412,DAY($H412)),DATE(YEAR($H412),MONTH($H412)+$G412+1,0)))</f>
        <v/>
      </c>
      <c r="J412" s="6" t="str">
        <f>IF($I412="","",$I412-TODAY())</f>
        <v/>
      </c>
      <c r="K412" s="9" t="str">
        <f>IF($F412="","",IF(NOT(ISNUMBER($G412)),"Hors champ",IF($H412="","À renseigner",IF($J412&lt;0,"Dépassée",IF($J412&lt;=30,"À planifier","À jour")))))</f>
        <v/>
      </c>
      <c r="L412" s="5"/>
      <c r="M412" s="5"/>
      <c r="N412" s="5"/>
    </row>
    <row r="413" spans="1:14" x14ac:dyDescent="0.25">
      <c r="A413" s="5"/>
      <c r="B413" s="5"/>
      <c r="C413" s="5"/>
      <c r="D413" s="5"/>
      <c r="E413" s="5"/>
      <c r="F413" s="5"/>
      <c r="G413" s="6" t="str">
        <f>IF($F413="","",IF(ISNA(VLOOKUP($F413,'Référentiel VGP'!$A$2:$B$33,2,FALSE)),"",VLOOKUP($F413,'Référentiel VGP'!$A$2:$B$33,2,FALSE)))</f>
        <v/>
      </c>
      <c r="H413" s="7"/>
      <c r="I413" s="8" t="str">
        <f>IF(OR($H413="",NOT(ISNUMBER($G413))),"",MIN(DATE(YEAR($H413),MONTH($H413)+$G413,DAY($H413)),DATE(YEAR($H413),MONTH($H413)+$G413+1,0)))</f>
        <v/>
      </c>
      <c r="J413" s="6" t="str">
        <f>IF($I413="","",$I413-TODAY())</f>
        <v/>
      </c>
      <c r="K413" s="9" t="str">
        <f>IF($F413="","",IF(NOT(ISNUMBER($G413)),"Hors champ",IF($H413="","À renseigner",IF($J413&lt;0,"Dépassée",IF($J413&lt;=30,"À planifier","À jour")))))</f>
        <v/>
      </c>
      <c r="L413" s="5"/>
      <c r="M413" s="5"/>
      <c r="N413" s="5"/>
    </row>
    <row r="414" spans="1:14" x14ac:dyDescent="0.25">
      <c r="A414" s="5"/>
      <c r="B414" s="5"/>
      <c r="C414" s="5"/>
      <c r="D414" s="5"/>
      <c r="E414" s="5"/>
      <c r="F414" s="5"/>
      <c r="G414" s="6" t="str">
        <f>IF($F414="","",IF(ISNA(VLOOKUP($F414,'Référentiel VGP'!$A$2:$B$33,2,FALSE)),"",VLOOKUP($F414,'Référentiel VGP'!$A$2:$B$33,2,FALSE)))</f>
        <v/>
      </c>
      <c r="H414" s="7"/>
      <c r="I414" s="8" t="str">
        <f>IF(OR($H414="",NOT(ISNUMBER($G414))),"",MIN(DATE(YEAR($H414),MONTH($H414)+$G414,DAY($H414)),DATE(YEAR($H414),MONTH($H414)+$G414+1,0)))</f>
        <v/>
      </c>
      <c r="J414" s="6" t="str">
        <f>IF($I414="","",$I414-TODAY())</f>
        <v/>
      </c>
      <c r="K414" s="9" t="str">
        <f>IF($F414="","",IF(NOT(ISNUMBER($G414)),"Hors champ",IF($H414="","À renseigner",IF($J414&lt;0,"Dépassée",IF($J414&lt;=30,"À planifier","À jour")))))</f>
        <v/>
      </c>
      <c r="L414" s="5"/>
      <c r="M414" s="5"/>
      <c r="N414" s="5"/>
    </row>
    <row r="415" spans="1:14" x14ac:dyDescent="0.25">
      <c r="A415" s="5"/>
      <c r="B415" s="5"/>
      <c r="C415" s="5"/>
      <c r="D415" s="5"/>
      <c r="E415" s="5"/>
      <c r="F415" s="5"/>
      <c r="G415" s="6" t="str">
        <f>IF($F415="","",IF(ISNA(VLOOKUP($F415,'Référentiel VGP'!$A$2:$B$33,2,FALSE)),"",VLOOKUP($F415,'Référentiel VGP'!$A$2:$B$33,2,FALSE)))</f>
        <v/>
      </c>
      <c r="H415" s="7"/>
      <c r="I415" s="8" t="str">
        <f>IF(OR($H415="",NOT(ISNUMBER($G415))),"",MIN(DATE(YEAR($H415),MONTH($H415)+$G415,DAY($H415)),DATE(YEAR($H415),MONTH($H415)+$G415+1,0)))</f>
        <v/>
      </c>
      <c r="J415" s="6" t="str">
        <f>IF($I415="","",$I415-TODAY())</f>
        <v/>
      </c>
      <c r="K415" s="9" t="str">
        <f>IF($F415="","",IF(NOT(ISNUMBER($G415)),"Hors champ",IF($H415="","À renseigner",IF($J415&lt;0,"Dépassée",IF($J415&lt;=30,"À planifier","À jour")))))</f>
        <v/>
      </c>
      <c r="L415" s="5"/>
      <c r="M415" s="5"/>
      <c r="N415" s="5"/>
    </row>
    <row r="416" spans="1:14" x14ac:dyDescent="0.25">
      <c r="A416" s="5"/>
      <c r="B416" s="5"/>
      <c r="C416" s="5"/>
      <c r="D416" s="5"/>
      <c r="E416" s="5"/>
      <c r="F416" s="5"/>
      <c r="G416" s="6" t="str">
        <f>IF($F416="","",IF(ISNA(VLOOKUP($F416,'Référentiel VGP'!$A$2:$B$33,2,FALSE)),"",VLOOKUP($F416,'Référentiel VGP'!$A$2:$B$33,2,FALSE)))</f>
        <v/>
      </c>
      <c r="H416" s="7"/>
      <c r="I416" s="8" t="str">
        <f>IF(OR($H416="",NOT(ISNUMBER($G416))),"",MIN(DATE(YEAR($H416),MONTH($H416)+$G416,DAY($H416)),DATE(YEAR($H416),MONTH($H416)+$G416+1,0)))</f>
        <v/>
      </c>
      <c r="J416" s="6" t="str">
        <f>IF($I416="","",$I416-TODAY())</f>
        <v/>
      </c>
      <c r="K416" s="9" t="str">
        <f>IF($F416="","",IF(NOT(ISNUMBER($G416)),"Hors champ",IF($H416="","À renseigner",IF($J416&lt;0,"Dépassée",IF($J416&lt;=30,"À planifier","À jour")))))</f>
        <v/>
      </c>
      <c r="L416" s="5"/>
      <c r="M416" s="5"/>
      <c r="N416" s="5"/>
    </row>
    <row r="417" spans="1:14" x14ac:dyDescent="0.25">
      <c r="A417" s="5"/>
      <c r="B417" s="5"/>
      <c r="C417" s="5"/>
      <c r="D417" s="5"/>
      <c r="E417" s="5"/>
      <c r="F417" s="5"/>
      <c r="G417" s="6" t="str">
        <f>IF($F417="","",IF(ISNA(VLOOKUP($F417,'Référentiel VGP'!$A$2:$B$33,2,FALSE)),"",VLOOKUP($F417,'Référentiel VGP'!$A$2:$B$33,2,FALSE)))</f>
        <v/>
      </c>
      <c r="H417" s="7"/>
      <c r="I417" s="8" t="str">
        <f>IF(OR($H417="",NOT(ISNUMBER($G417))),"",MIN(DATE(YEAR($H417),MONTH($H417)+$G417,DAY($H417)),DATE(YEAR($H417),MONTH($H417)+$G417+1,0)))</f>
        <v/>
      </c>
      <c r="J417" s="6" t="str">
        <f>IF($I417="","",$I417-TODAY())</f>
        <v/>
      </c>
      <c r="K417" s="9" t="str">
        <f>IF($F417="","",IF(NOT(ISNUMBER($G417)),"Hors champ",IF($H417="","À renseigner",IF($J417&lt;0,"Dépassée",IF($J417&lt;=30,"À planifier","À jour")))))</f>
        <v/>
      </c>
      <c r="L417" s="5"/>
      <c r="M417" s="5"/>
      <c r="N417" s="5"/>
    </row>
    <row r="418" spans="1:14" x14ac:dyDescent="0.25">
      <c r="A418" s="5"/>
      <c r="B418" s="5"/>
      <c r="C418" s="5"/>
      <c r="D418" s="5"/>
      <c r="E418" s="5"/>
      <c r="F418" s="5"/>
      <c r="G418" s="6" t="str">
        <f>IF($F418="","",IF(ISNA(VLOOKUP($F418,'Référentiel VGP'!$A$2:$B$33,2,FALSE)),"",VLOOKUP($F418,'Référentiel VGP'!$A$2:$B$33,2,FALSE)))</f>
        <v/>
      </c>
      <c r="H418" s="7"/>
      <c r="I418" s="8" t="str">
        <f>IF(OR($H418="",NOT(ISNUMBER($G418))),"",MIN(DATE(YEAR($H418),MONTH($H418)+$G418,DAY($H418)),DATE(YEAR($H418),MONTH($H418)+$G418+1,0)))</f>
        <v/>
      </c>
      <c r="J418" s="6" t="str">
        <f>IF($I418="","",$I418-TODAY())</f>
        <v/>
      </c>
      <c r="K418" s="9" t="str">
        <f>IF($F418="","",IF(NOT(ISNUMBER($G418)),"Hors champ",IF($H418="","À renseigner",IF($J418&lt;0,"Dépassée",IF($J418&lt;=30,"À planifier","À jour")))))</f>
        <v/>
      </c>
      <c r="L418" s="5"/>
      <c r="M418" s="5"/>
      <c r="N418" s="5"/>
    </row>
    <row r="419" spans="1:14" x14ac:dyDescent="0.25">
      <c r="A419" s="5"/>
      <c r="B419" s="5"/>
      <c r="C419" s="5"/>
      <c r="D419" s="5"/>
      <c r="E419" s="5"/>
      <c r="F419" s="5"/>
      <c r="G419" s="6" t="str">
        <f>IF($F419="","",IF(ISNA(VLOOKUP($F419,'Référentiel VGP'!$A$2:$B$33,2,FALSE)),"",VLOOKUP($F419,'Référentiel VGP'!$A$2:$B$33,2,FALSE)))</f>
        <v/>
      </c>
      <c r="H419" s="7"/>
      <c r="I419" s="8" t="str">
        <f>IF(OR($H419="",NOT(ISNUMBER($G419))),"",MIN(DATE(YEAR($H419),MONTH($H419)+$G419,DAY($H419)),DATE(YEAR($H419),MONTH($H419)+$G419+1,0)))</f>
        <v/>
      </c>
      <c r="J419" s="6" t="str">
        <f>IF($I419="","",$I419-TODAY())</f>
        <v/>
      </c>
      <c r="K419" s="9" t="str">
        <f>IF($F419="","",IF(NOT(ISNUMBER($G419)),"Hors champ",IF($H419="","À renseigner",IF($J419&lt;0,"Dépassée",IF($J419&lt;=30,"À planifier","À jour")))))</f>
        <v/>
      </c>
      <c r="L419" s="5"/>
      <c r="M419" s="5"/>
      <c r="N419" s="5"/>
    </row>
    <row r="420" spans="1:14" x14ac:dyDescent="0.25">
      <c r="A420" s="5"/>
      <c r="B420" s="5"/>
      <c r="C420" s="5"/>
      <c r="D420" s="5"/>
      <c r="E420" s="5"/>
      <c r="F420" s="5"/>
      <c r="G420" s="6" t="str">
        <f>IF($F420="","",IF(ISNA(VLOOKUP($F420,'Référentiel VGP'!$A$2:$B$33,2,FALSE)),"",VLOOKUP($F420,'Référentiel VGP'!$A$2:$B$33,2,FALSE)))</f>
        <v/>
      </c>
      <c r="H420" s="7"/>
      <c r="I420" s="8" t="str">
        <f>IF(OR($H420="",NOT(ISNUMBER($G420))),"",MIN(DATE(YEAR($H420),MONTH($H420)+$G420,DAY($H420)),DATE(YEAR($H420),MONTH($H420)+$G420+1,0)))</f>
        <v/>
      </c>
      <c r="J420" s="6" t="str">
        <f>IF($I420="","",$I420-TODAY())</f>
        <v/>
      </c>
      <c r="K420" s="9" t="str">
        <f>IF($F420="","",IF(NOT(ISNUMBER($G420)),"Hors champ",IF($H420="","À renseigner",IF($J420&lt;0,"Dépassée",IF($J420&lt;=30,"À planifier","À jour")))))</f>
        <v/>
      </c>
      <c r="L420" s="5"/>
      <c r="M420" s="5"/>
      <c r="N420" s="5"/>
    </row>
    <row r="421" spans="1:14" x14ac:dyDescent="0.25">
      <c r="A421" s="5"/>
      <c r="B421" s="5"/>
      <c r="C421" s="5"/>
      <c r="D421" s="5"/>
      <c r="E421" s="5"/>
      <c r="F421" s="5"/>
      <c r="G421" s="6" t="str">
        <f>IF($F421="","",IF(ISNA(VLOOKUP($F421,'Référentiel VGP'!$A$2:$B$33,2,FALSE)),"",VLOOKUP($F421,'Référentiel VGP'!$A$2:$B$33,2,FALSE)))</f>
        <v/>
      </c>
      <c r="H421" s="7"/>
      <c r="I421" s="8" t="str">
        <f>IF(OR($H421="",NOT(ISNUMBER($G421))),"",MIN(DATE(YEAR($H421),MONTH($H421)+$G421,DAY($H421)),DATE(YEAR($H421),MONTH($H421)+$G421+1,0)))</f>
        <v/>
      </c>
      <c r="J421" s="6" t="str">
        <f>IF($I421="","",$I421-TODAY())</f>
        <v/>
      </c>
      <c r="K421" s="9" t="str">
        <f>IF($F421="","",IF(NOT(ISNUMBER($G421)),"Hors champ",IF($H421="","À renseigner",IF($J421&lt;0,"Dépassée",IF($J421&lt;=30,"À planifier","À jour")))))</f>
        <v/>
      </c>
      <c r="L421" s="5"/>
      <c r="M421" s="5"/>
      <c r="N421" s="5"/>
    </row>
    <row r="422" spans="1:14" x14ac:dyDescent="0.25">
      <c r="A422" s="5"/>
      <c r="B422" s="5"/>
      <c r="C422" s="5"/>
      <c r="D422" s="5"/>
      <c r="E422" s="5"/>
      <c r="F422" s="5"/>
      <c r="G422" s="6" t="str">
        <f>IF($F422="","",IF(ISNA(VLOOKUP($F422,'Référentiel VGP'!$A$2:$B$33,2,FALSE)),"",VLOOKUP($F422,'Référentiel VGP'!$A$2:$B$33,2,FALSE)))</f>
        <v/>
      </c>
      <c r="H422" s="7"/>
      <c r="I422" s="8" t="str">
        <f>IF(OR($H422="",NOT(ISNUMBER($G422))),"",MIN(DATE(YEAR($H422),MONTH($H422)+$G422,DAY($H422)),DATE(YEAR($H422),MONTH($H422)+$G422+1,0)))</f>
        <v/>
      </c>
      <c r="J422" s="6" t="str">
        <f>IF($I422="","",$I422-TODAY())</f>
        <v/>
      </c>
      <c r="K422" s="9" t="str">
        <f>IF($F422="","",IF(NOT(ISNUMBER($G422)),"Hors champ",IF($H422="","À renseigner",IF($J422&lt;0,"Dépassée",IF($J422&lt;=30,"À planifier","À jour")))))</f>
        <v/>
      </c>
      <c r="L422" s="5"/>
      <c r="M422" s="5"/>
      <c r="N422" s="5"/>
    </row>
    <row r="423" spans="1:14" x14ac:dyDescent="0.25">
      <c r="A423" s="5"/>
      <c r="B423" s="5"/>
      <c r="C423" s="5"/>
      <c r="D423" s="5"/>
      <c r="E423" s="5"/>
      <c r="F423" s="5"/>
      <c r="G423" s="6" t="str">
        <f>IF($F423="","",IF(ISNA(VLOOKUP($F423,'Référentiel VGP'!$A$2:$B$33,2,FALSE)),"",VLOOKUP($F423,'Référentiel VGP'!$A$2:$B$33,2,FALSE)))</f>
        <v/>
      </c>
      <c r="H423" s="7"/>
      <c r="I423" s="8" t="str">
        <f>IF(OR($H423="",NOT(ISNUMBER($G423))),"",MIN(DATE(YEAR($H423),MONTH($H423)+$G423,DAY($H423)),DATE(YEAR($H423),MONTH($H423)+$G423+1,0)))</f>
        <v/>
      </c>
      <c r="J423" s="6" t="str">
        <f>IF($I423="","",$I423-TODAY())</f>
        <v/>
      </c>
      <c r="K423" s="9" t="str">
        <f>IF($F423="","",IF(NOT(ISNUMBER($G423)),"Hors champ",IF($H423="","À renseigner",IF($J423&lt;0,"Dépassée",IF($J423&lt;=30,"À planifier","À jour")))))</f>
        <v/>
      </c>
      <c r="L423" s="5"/>
      <c r="M423" s="5"/>
      <c r="N423" s="5"/>
    </row>
    <row r="424" spans="1:14" x14ac:dyDescent="0.25">
      <c r="A424" s="5"/>
      <c r="B424" s="5"/>
      <c r="C424" s="5"/>
      <c r="D424" s="5"/>
      <c r="E424" s="5"/>
      <c r="F424" s="5"/>
      <c r="G424" s="6" t="str">
        <f>IF($F424="","",IF(ISNA(VLOOKUP($F424,'Référentiel VGP'!$A$2:$B$33,2,FALSE)),"",VLOOKUP($F424,'Référentiel VGP'!$A$2:$B$33,2,FALSE)))</f>
        <v/>
      </c>
      <c r="H424" s="7"/>
      <c r="I424" s="8" t="str">
        <f>IF(OR($H424="",NOT(ISNUMBER($G424))),"",MIN(DATE(YEAR($H424),MONTH($H424)+$G424,DAY($H424)),DATE(YEAR($H424),MONTH($H424)+$G424+1,0)))</f>
        <v/>
      </c>
      <c r="J424" s="6" t="str">
        <f>IF($I424="","",$I424-TODAY())</f>
        <v/>
      </c>
      <c r="K424" s="9" t="str">
        <f>IF($F424="","",IF(NOT(ISNUMBER($G424)),"Hors champ",IF($H424="","À renseigner",IF($J424&lt;0,"Dépassée",IF($J424&lt;=30,"À planifier","À jour")))))</f>
        <v/>
      </c>
      <c r="L424" s="5"/>
      <c r="M424" s="5"/>
      <c r="N424" s="5"/>
    </row>
    <row r="425" spans="1:14" x14ac:dyDescent="0.25">
      <c r="A425" s="5"/>
      <c r="B425" s="5"/>
      <c r="C425" s="5"/>
      <c r="D425" s="5"/>
      <c r="E425" s="5"/>
      <c r="F425" s="5"/>
      <c r="G425" s="6" t="str">
        <f>IF($F425="","",IF(ISNA(VLOOKUP($F425,'Référentiel VGP'!$A$2:$B$33,2,FALSE)),"",VLOOKUP($F425,'Référentiel VGP'!$A$2:$B$33,2,FALSE)))</f>
        <v/>
      </c>
      <c r="H425" s="7"/>
      <c r="I425" s="8" t="str">
        <f>IF(OR($H425="",NOT(ISNUMBER($G425))),"",MIN(DATE(YEAR($H425),MONTH($H425)+$G425,DAY($H425)),DATE(YEAR($H425),MONTH($H425)+$G425+1,0)))</f>
        <v/>
      </c>
      <c r="J425" s="6" t="str">
        <f>IF($I425="","",$I425-TODAY())</f>
        <v/>
      </c>
      <c r="K425" s="9" t="str">
        <f>IF($F425="","",IF(NOT(ISNUMBER($G425)),"Hors champ",IF($H425="","À renseigner",IF($J425&lt;0,"Dépassée",IF($J425&lt;=30,"À planifier","À jour")))))</f>
        <v/>
      </c>
      <c r="L425" s="5"/>
      <c r="M425" s="5"/>
      <c r="N425" s="5"/>
    </row>
    <row r="426" spans="1:14" x14ac:dyDescent="0.25">
      <c r="A426" s="5"/>
      <c r="B426" s="5"/>
      <c r="C426" s="5"/>
      <c r="D426" s="5"/>
      <c r="E426" s="5"/>
      <c r="F426" s="5"/>
      <c r="G426" s="6" t="str">
        <f>IF($F426="","",IF(ISNA(VLOOKUP($F426,'Référentiel VGP'!$A$2:$B$33,2,FALSE)),"",VLOOKUP($F426,'Référentiel VGP'!$A$2:$B$33,2,FALSE)))</f>
        <v/>
      </c>
      <c r="H426" s="7"/>
      <c r="I426" s="8" t="str">
        <f>IF(OR($H426="",NOT(ISNUMBER($G426))),"",MIN(DATE(YEAR($H426),MONTH($H426)+$G426,DAY($H426)),DATE(YEAR($H426),MONTH($H426)+$G426+1,0)))</f>
        <v/>
      </c>
      <c r="J426" s="6" t="str">
        <f>IF($I426="","",$I426-TODAY())</f>
        <v/>
      </c>
      <c r="K426" s="9" t="str">
        <f>IF($F426="","",IF(NOT(ISNUMBER($G426)),"Hors champ",IF($H426="","À renseigner",IF($J426&lt;0,"Dépassée",IF($J426&lt;=30,"À planifier","À jour")))))</f>
        <v/>
      </c>
      <c r="L426" s="5"/>
      <c r="M426" s="5"/>
      <c r="N426" s="5"/>
    </row>
    <row r="427" spans="1:14" x14ac:dyDescent="0.25">
      <c r="A427" s="5"/>
      <c r="B427" s="5"/>
      <c r="C427" s="5"/>
      <c r="D427" s="5"/>
      <c r="E427" s="5"/>
      <c r="F427" s="5"/>
      <c r="G427" s="6" t="str">
        <f>IF($F427="","",IF(ISNA(VLOOKUP($F427,'Référentiel VGP'!$A$2:$B$33,2,FALSE)),"",VLOOKUP($F427,'Référentiel VGP'!$A$2:$B$33,2,FALSE)))</f>
        <v/>
      </c>
      <c r="H427" s="7"/>
      <c r="I427" s="8" t="str">
        <f>IF(OR($H427="",NOT(ISNUMBER($G427))),"",MIN(DATE(YEAR($H427),MONTH($H427)+$G427,DAY($H427)),DATE(YEAR($H427),MONTH($H427)+$G427+1,0)))</f>
        <v/>
      </c>
      <c r="J427" s="6" t="str">
        <f>IF($I427="","",$I427-TODAY())</f>
        <v/>
      </c>
      <c r="K427" s="9" t="str">
        <f>IF($F427="","",IF(NOT(ISNUMBER($G427)),"Hors champ",IF($H427="","À renseigner",IF($J427&lt;0,"Dépassée",IF($J427&lt;=30,"À planifier","À jour")))))</f>
        <v/>
      </c>
      <c r="L427" s="5"/>
      <c r="M427" s="5"/>
      <c r="N427" s="5"/>
    </row>
    <row r="428" spans="1:14" x14ac:dyDescent="0.25">
      <c r="A428" s="5"/>
      <c r="B428" s="5"/>
      <c r="C428" s="5"/>
      <c r="D428" s="5"/>
      <c r="E428" s="5"/>
      <c r="F428" s="5"/>
      <c r="G428" s="6" t="str">
        <f>IF($F428="","",IF(ISNA(VLOOKUP($F428,'Référentiel VGP'!$A$2:$B$33,2,FALSE)),"",VLOOKUP($F428,'Référentiel VGP'!$A$2:$B$33,2,FALSE)))</f>
        <v/>
      </c>
      <c r="H428" s="7"/>
      <c r="I428" s="8" t="str">
        <f>IF(OR($H428="",NOT(ISNUMBER($G428))),"",MIN(DATE(YEAR($H428),MONTH($H428)+$G428,DAY($H428)),DATE(YEAR($H428),MONTH($H428)+$G428+1,0)))</f>
        <v/>
      </c>
      <c r="J428" s="6" t="str">
        <f>IF($I428="","",$I428-TODAY())</f>
        <v/>
      </c>
      <c r="K428" s="9" t="str">
        <f>IF($F428="","",IF(NOT(ISNUMBER($G428)),"Hors champ",IF($H428="","À renseigner",IF($J428&lt;0,"Dépassée",IF($J428&lt;=30,"À planifier","À jour")))))</f>
        <v/>
      </c>
      <c r="L428" s="5"/>
      <c r="M428" s="5"/>
      <c r="N428" s="5"/>
    </row>
    <row r="429" spans="1:14" x14ac:dyDescent="0.25">
      <c r="A429" s="5"/>
      <c r="B429" s="5"/>
      <c r="C429" s="5"/>
      <c r="D429" s="5"/>
      <c r="E429" s="5"/>
      <c r="F429" s="5"/>
      <c r="G429" s="6" t="str">
        <f>IF($F429="","",IF(ISNA(VLOOKUP($F429,'Référentiel VGP'!$A$2:$B$33,2,FALSE)),"",VLOOKUP($F429,'Référentiel VGP'!$A$2:$B$33,2,FALSE)))</f>
        <v/>
      </c>
      <c r="H429" s="7"/>
      <c r="I429" s="8" t="str">
        <f>IF(OR($H429="",NOT(ISNUMBER($G429))),"",MIN(DATE(YEAR($H429),MONTH($H429)+$G429,DAY($H429)),DATE(YEAR($H429),MONTH($H429)+$G429+1,0)))</f>
        <v/>
      </c>
      <c r="J429" s="6" t="str">
        <f>IF($I429="","",$I429-TODAY())</f>
        <v/>
      </c>
      <c r="K429" s="9" t="str">
        <f>IF($F429="","",IF(NOT(ISNUMBER($G429)),"Hors champ",IF($H429="","À renseigner",IF($J429&lt;0,"Dépassée",IF($J429&lt;=30,"À planifier","À jour")))))</f>
        <v/>
      </c>
      <c r="L429" s="5"/>
      <c r="M429" s="5"/>
      <c r="N429" s="5"/>
    </row>
    <row r="430" spans="1:14" x14ac:dyDescent="0.25">
      <c r="A430" s="5"/>
      <c r="B430" s="5"/>
      <c r="C430" s="5"/>
      <c r="D430" s="5"/>
      <c r="E430" s="5"/>
      <c r="F430" s="5"/>
      <c r="G430" s="6" t="str">
        <f>IF($F430="","",IF(ISNA(VLOOKUP($F430,'Référentiel VGP'!$A$2:$B$33,2,FALSE)),"",VLOOKUP($F430,'Référentiel VGP'!$A$2:$B$33,2,FALSE)))</f>
        <v/>
      </c>
      <c r="H430" s="7"/>
      <c r="I430" s="8" t="str">
        <f>IF(OR($H430="",NOT(ISNUMBER($G430))),"",MIN(DATE(YEAR($H430),MONTH($H430)+$G430,DAY($H430)),DATE(YEAR($H430),MONTH($H430)+$G430+1,0)))</f>
        <v/>
      </c>
      <c r="J430" s="6" t="str">
        <f>IF($I430="","",$I430-TODAY())</f>
        <v/>
      </c>
      <c r="K430" s="9" t="str">
        <f>IF($F430="","",IF(NOT(ISNUMBER($G430)),"Hors champ",IF($H430="","À renseigner",IF($J430&lt;0,"Dépassée",IF($J430&lt;=30,"À planifier","À jour")))))</f>
        <v/>
      </c>
      <c r="L430" s="5"/>
      <c r="M430" s="5"/>
      <c r="N430" s="5"/>
    </row>
    <row r="431" spans="1:14" x14ac:dyDescent="0.25">
      <c r="A431" s="5"/>
      <c r="B431" s="5"/>
      <c r="C431" s="5"/>
      <c r="D431" s="5"/>
      <c r="E431" s="5"/>
      <c r="F431" s="5"/>
      <c r="G431" s="6" t="str">
        <f>IF($F431="","",IF(ISNA(VLOOKUP($F431,'Référentiel VGP'!$A$2:$B$33,2,FALSE)),"",VLOOKUP($F431,'Référentiel VGP'!$A$2:$B$33,2,FALSE)))</f>
        <v/>
      </c>
      <c r="H431" s="7"/>
      <c r="I431" s="8" t="str">
        <f>IF(OR($H431="",NOT(ISNUMBER($G431))),"",MIN(DATE(YEAR($H431),MONTH($H431)+$G431,DAY($H431)),DATE(YEAR($H431),MONTH($H431)+$G431+1,0)))</f>
        <v/>
      </c>
      <c r="J431" s="6" t="str">
        <f>IF($I431="","",$I431-TODAY())</f>
        <v/>
      </c>
      <c r="K431" s="9" t="str">
        <f>IF($F431="","",IF(NOT(ISNUMBER($G431)),"Hors champ",IF($H431="","À renseigner",IF($J431&lt;0,"Dépassée",IF($J431&lt;=30,"À planifier","À jour")))))</f>
        <v/>
      </c>
      <c r="L431" s="5"/>
      <c r="M431" s="5"/>
      <c r="N431" s="5"/>
    </row>
    <row r="432" spans="1:14" x14ac:dyDescent="0.25">
      <c r="A432" s="5"/>
      <c r="B432" s="5"/>
      <c r="C432" s="5"/>
      <c r="D432" s="5"/>
      <c r="E432" s="5"/>
      <c r="F432" s="5"/>
      <c r="G432" s="6" t="str">
        <f>IF($F432="","",IF(ISNA(VLOOKUP($F432,'Référentiel VGP'!$A$2:$B$33,2,FALSE)),"",VLOOKUP($F432,'Référentiel VGP'!$A$2:$B$33,2,FALSE)))</f>
        <v/>
      </c>
      <c r="H432" s="7"/>
      <c r="I432" s="8" t="str">
        <f>IF(OR($H432="",NOT(ISNUMBER($G432))),"",MIN(DATE(YEAR($H432),MONTH($H432)+$G432,DAY($H432)),DATE(YEAR($H432),MONTH($H432)+$G432+1,0)))</f>
        <v/>
      </c>
      <c r="J432" s="6" t="str">
        <f>IF($I432="","",$I432-TODAY())</f>
        <v/>
      </c>
      <c r="K432" s="9" t="str">
        <f>IF($F432="","",IF(NOT(ISNUMBER($G432)),"Hors champ",IF($H432="","À renseigner",IF($J432&lt;0,"Dépassée",IF($J432&lt;=30,"À planifier","À jour")))))</f>
        <v/>
      </c>
      <c r="L432" s="5"/>
      <c r="M432" s="5"/>
      <c r="N432" s="5"/>
    </row>
    <row r="433" spans="1:14" x14ac:dyDescent="0.25">
      <c r="A433" s="5"/>
      <c r="B433" s="5"/>
      <c r="C433" s="5"/>
      <c r="D433" s="5"/>
      <c r="E433" s="5"/>
      <c r="F433" s="5"/>
      <c r="G433" s="6" t="str">
        <f>IF($F433="","",IF(ISNA(VLOOKUP($F433,'Référentiel VGP'!$A$2:$B$33,2,FALSE)),"",VLOOKUP($F433,'Référentiel VGP'!$A$2:$B$33,2,FALSE)))</f>
        <v/>
      </c>
      <c r="H433" s="7"/>
      <c r="I433" s="8" t="str">
        <f>IF(OR($H433="",NOT(ISNUMBER($G433))),"",MIN(DATE(YEAR($H433),MONTH($H433)+$G433,DAY($H433)),DATE(YEAR($H433),MONTH($H433)+$G433+1,0)))</f>
        <v/>
      </c>
      <c r="J433" s="6" t="str">
        <f>IF($I433="","",$I433-TODAY())</f>
        <v/>
      </c>
      <c r="K433" s="9" t="str">
        <f>IF($F433="","",IF(NOT(ISNUMBER($G433)),"Hors champ",IF($H433="","À renseigner",IF($J433&lt;0,"Dépassée",IF($J433&lt;=30,"À planifier","À jour")))))</f>
        <v/>
      </c>
      <c r="L433" s="5"/>
      <c r="M433" s="5"/>
      <c r="N433" s="5"/>
    </row>
    <row r="434" spans="1:14" x14ac:dyDescent="0.25">
      <c r="A434" s="5"/>
      <c r="B434" s="5"/>
      <c r="C434" s="5"/>
      <c r="D434" s="5"/>
      <c r="E434" s="5"/>
      <c r="F434" s="5"/>
      <c r="G434" s="6" t="str">
        <f>IF($F434="","",IF(ISNA(VLOOKUP($F434,'Référentiel VGP'!$A$2:$B$33,2,FALSE)),"",VLOOKUP($F434,'Référentiel VGP'!$A$2:$B$33,2,FALSE)))</f>
        <v/>
      </c>
      <c r="H434" s="7"/>
      <c r="I434" s="8" t="str">
        <f>IF(OR($H434="",NOT(ISNUMBER($G434))),"",MIN(DATE(YEAR($H434),MONTH($H434)+$G434,DAY($H434)),DATE(YEAR($H434),MONTH($H434)+$G434+1,0)))</f>
        <v/>
      </c>
      <c r="J434" s="6" t="str">
        <f>IF($I434="","",$I434-TODAY())</f>
        <v/>
      </c>
      <c r="K434" s="9" t="str">
        <f>IF($F434="","",IF(NOT(ISNUMBER($G434)),"Hors champ",IF($H434="","À renseigner",IF($J434&lt;0,"Dépassée",IF($J434&lt;=30,"À planifier","À jour")))))</f>
        <v/>
      </c>
      <c r="L434" s="5"/>
      <c r="M434" s="5"/>
      <c r="N434" s="5"/>
    </row>
    <row r="435" spans="1:14" x14ac:dyDescent="0.25">
      <c r="A435" s="5"/>
      <c r="B435" s="5"/>
      <c r="C435" s="5"/>
      <c r="D435" s="5"/>
      <c r="E435" s="5"/>
      <c r="F435" s="5"/>
      <c r="G435" s="6" t="str">
        <f>IF($F435="","",IF(ISNA(VLOOKUP($F435,'Référentiel VGP'!$A$2:$B$33,2,FALSE)),"",VLOOKUP($F435,'Référentiel VGP'!$A$2:$B$33,2,FALSE)))</f>
        <v/>
      </c>
      <c r="H435" s="7"/>
      <c r="I435" s="8" t="str">
        <f>IF(OR($H435="",NOT(ISNUMBER($G435))),"",MIN(DATE(YEAR($H435),MONTH($H435)+$G435,DAY($H435)),DATE(YEAR($H435),MONTH($H435)+$G435+1,0)))</f>
        <v/>
      </c>
      <c r="J435" s="6" t="str">
        <f>IF($I435="","",$I435-TODAY())</f>
        <v/>
      </c>
      <c r="K435" s="9" t="str">
        <f>IF($F435="","",IF(NOT(ISNUMBER($G435)),"Hors champ",IF($H435="","À renseigner",IF($J435&lt;0,"Dépassée",IF($J435&lt;=30,"À planifier","À jour")))))</f>
        <v/>
      </c>
      <c r="L435" s="5"/>
      <c r="M435" s="5"/>
      <c r="N435" s="5"/>
    </row>
    <row r="436" spans="1:14" x14ac:dyDescent="0.25">
      <c r="A436" s="5"/>
      <c r="B436" s="5"/>
      <c r="C436" s="5"/>
      <c r="D436" s="5"/>
      <c r="E436" s="5"/>
      <c r="F436" s="5"/>
      <c r="G436" s="6" t="str">
        <f>IF($F436="","",IF(ISNA(VLOOKUP($F436,'Référentiel VGP'!$A$2:$B$33,2,FALSE)),"",VLOOKUP($F436,'Référentiel VGP'!$A$2:$B$33,2,FALSE)))</f>
        <v/>
      </c>
      <c r="H436" s="7"/>
      <c r="I436" s="8" t="str">
        <f>IF(OR($H436="",NOT(ISNUMBER($G436))),"",MIN(DATE(YEAR($H436),MONTH($H436)+$G436,DAY($H436)),DATE(YEAR($H436),MONTH($H436)+$G436+1,0)))</f>
        <v/>
      </c>
      <c r="J436" s="6" t="str">
        <f>IF($I436="","",$I436-TODAY())</f>
        <v/>
      </c>
      <c r="K436" s="9" t="str">
        <f>IF($F436="","",IF(NOT(ISNUMBER($G436)),"Hors champ",IF($H436="","À renseigner",IF($J436&lt;0,"Dépassée",IF($J436&lt;=30,"À planifier","À jour")))))</f>
        <v/>
      </c>
      <c r="L436" s="5"/>
      <c r="M436" s="5"/>
      <c r="N436" s="5"/>
    </row>
    <row r="437" spans="1:14" x14ac:dyDescent="0.25">
      <c r="A437" s="5"/>
      <c r="B437" s="5"/>
      <c r="C437" s="5"/>
      <c r="D437" s="5"/>
      <c r="E437" s="5"/>
      <c r="F437" s="5"/>
      <c r="G437" s="6" t="str">
        <f>IF($F437="","",IF(ISNA(VLOOKUP($F437,'Référentiel VGP'!$A$2:$B$33,2,FALSE)),"",VLOOKUP($F437,'Référentiel VGP'!$A$2:$B$33,2,FALSE)))</f>
        <v/>
      </c>
      <c r="H437" s="7"/>
      <c r="I437" s="8" t="str">
        <f>IF(OR($H437="",NOT(ISNUMBER($G437))),"",MIN(DATE(YEAR($H437),MONTH($H437)+$G437,DAY($H437)),DATE(YEAR($H437),MONTH($H437)+$G437+1,0)))</f>
        <v/>
      </c>
      <c r="J437" s="6" t="str">
        <f>IF($I437="","",$I437-TODAY())</f>
        <v/>
      </c>
      <c r="K437" s="9" t="str">
        <f>IF($F437="","",IF(NOT(ISNUMBER($G437)),"Hors champ",IF($H437="","À renseigner",IF($J437&lt;0,"Dépassée",IF($J437&lt;=30,"À planifier","À jour")))))</f>
        <v/>
      </c>
      <c r="L437" s="5"/>
      <c r="M437" s="5"/>
      <c r="N437" s="5"/>
    </row>
    <row r="438" spans="1:14" x14ac:dyDescent="0.25">
      <c r="A438" s="5"/>
      <c r="B438" s="5"/>
      <c r="C438" s="5"/>
      <c r="D438" s="5"/>
      <c r="E438" s="5"/>
      <c r="F438" s="5"/>
      <c r="G438" s="6" t="str">
        <f>IF($F438="","",IF(ISNA(VLOOKUP($F438,'Référentiel VGP'!$A$2:$B$33,2,FALSE)),"",VLOOKUP($F438,'Référentiel VGP'!$A$2:$B$33,2,FALSE)))</f>
        <v/>
      </c>
      <c r="H438" s="7"/>
      <c r="I438" s="8" t="str">
        <f>IF(OR($H438="",NOT(ISNUMBER($G438))),"",MIN(DATE(YEAR($H438),MONTH($H438)+$G438,DAY($H438)),DATE(YEAR($H438),MONTH($H438)+$G438+1,0)))</f>
        <v/>
      </c>
      <c r="J438" s="6" t="str">
        <f>IF($I438="","",$I438-TODAY())</f>
        <v/>
      </c>
      <c r="K438" s="9" t="str">
        <f>IF($F438="","",IF(NOT(ISNUMBER($G438)),"Hors champ",IF($H438="","À renseigner",IF($J438&lt;0,"Dépassée",IF($J438&lt;=30,"À planifier","À jour")))))</f>
        <v/>
      </c>
      <c r="L438" s="5"/>
      <c r="M438" s="5"/>
      <c r="N438" s="5"/>
    </row>
    <row r="439" spans="1:14" x14ac:dyDescent="0.25">
      <c r="A439" s="5"/>
      <c r="B439" s="5"/>
      <c r="C439" s="5"/>
      <c r="D439" s="5"/>
      <c r="E439" s="5"/>
      <c r="F439" s="5"/>
      <c r="G439" s="6" t="str">
        <f>IF($F439="","",IF(ISNA(VLOOKUP($F439,'Référentiel VGP'!$A$2:$B$33,2,FALSE)),"",VLOOKUP($F439,'Référentiel VGP'!$A$2:$B$33,2,FALSE)))</f>
        <v/>
      </c>
      <c r="H439" s="7"/>
      <c r="I439" s="8" t="str">
        <f>IF(OR($H439="",NOT(ISNUMBER($G439))),"",MIN(DATE(YEAR($H439),MONTH($H439)+$G439,DAY($H439)),DATE(YEAR($H439),MONTH($H439)+$G439+1,0)))</f>
        <v/>
      </c>
      <c r="J439" s="6" t="str">
        <f>IF($I439="","",$I439-TODAY())</f>
        <v/>
      </c>
      <c r="K439" s="9" t="str">
        <f>IF($F439="","",IF(NOT(ISNUMBER($G439)),"Hors champ",IF($H439="","À renseigner",IF($J439&lt;0,"Dépassée",IF($J439&lt;=30,"À planifier","À jour")))))</f>
        <v/>
      </c>
      <c r="L439" s="5"/>
      <c r="M439" s="5"/>
      <c r="N439" s="5"/>
    </row>
    <row r="440" spans="1:14" x14ac:dyDescent="0.25">
      <c r="A440" s="5"/>
      <c r="B440" s="5"/>
      <c r="C440" s="5"/>
      <c r="D440" s="5"/>
      <c r="E440" s="5"/>
      <c r="F440" s="5"/>
      <c r="G440" s="6" t="str">
        <f>IF($F440="","",IF(ISNA(VLOOKUP($F440,'Référentiel VGP'!$A$2:$B$33,2,FALSE)),"",VLOOKUP($F440,'Référentiel VGP'!$A$2:$B$33,2,FALSE)))</f>
        <v/>
      </c>
      <c r="H440" s="7"/>
      <c r="I440" s="8" t="str">
        <f>IF(OR($H440="",NOT(ISNUMBER($G440))),"",MIN(DATE(YEAR($H440),MONTH($H440)+$G440,DAY($H440)),DATE(YEAR($H440),MONTH($H440)+$G440+1,0)))</f>
        <v/>
      </c>
      <c r="J440" s="6" t="str">
        <f>IF($I440="","",$I440-TODAY())</f>
        <v/>
      </c>
      <c r="K440" s="9" t="str">
        <f>IF($F440="","",IF(NOT(ISNUMBER($G440)),"Hors champ",IF($H440="","À renseigner",IF($J440&lt;0,"Dépassée",IF($J440&lt;=30,"À planifier","À jour")))))</f>
        <v/>
      </c>
      <c r="L440" s="5"/>
      <c r="M440" s="5"/>
      <c r="N440" s="5"/>
    </row>
    <row r="441" spans="1:14" x14ac:dyDescent="0.25">
      <c r="A441" s="5"/>
      <c r="B441" s="5"/>
      <c r="C441" s="5"/>
      <c r="D441" s="5"/>
      <c r="E441" s="5"/>
      <c r="F441" s="5"/>
      <c r="G441" s="6" t="str">
        <f>IF($F441="","",IF(ISNA(VLOOKUP($F441,'Référentiel VGP'!$A$2:$B$33,2,FALSE)),"",VLOOKUP($F441,'Référentiel VGP'!$A$2:$B$33,2,FALSE)))</f>
        <v/>
      </c>
      <c r="H441" s="7"/>
      <c r="I441" s="8" t="str">
        <f>IF(OR($H441="",NOT(ISNUMBER($G441))),"",MIN(DATE(YEAR($H441),MONTH($H441)+$G441,DAY($H441)),DATE(YEAR($H441),MONTH($H441)+$G441+1,0)))</f>
        <v/>
      </c>
      <c r="J441" s="6" t="str">
        <f>IF($I441="","",$I441-TODAY())</f>
        <v/>
      </c>
      <c r="K441" s="9" t="str">
        <f>IF($F441="","",IF(NOT(ISNUMBER($G441)),"Hors champ",IF($H441="","À renseigner",IF($J441&lt;0,"Dépassée",IF($J441&lt;=30,"À planifier","À jour")))))</f>
        <v/>
      </c>
      <c r="L441" s="5"/>
      <c r="M441" s="5"/>
      <c r="N441" s="5"/>
    </row>
    <row r="442" spans="1:14" x14ac:dyDescent="0.25">
      <c r="A442" s="5"/>
      <c r="B442" s="5"/>
      <c r="C442" s="5"/>
      <c r="D442" s="5"/>
      <c r="E442" s="5"/>
      <c r="F442" s="5"/>
      <c r="G442" s="6" t="str">
        <f>IF($F442="","",IF(ISNA(VLOOKUP($F442,'Référentiel VGP'!$A$2:$B$33,2,FALSE)),"",VLOOKUP($F442,'Référentiel VGP'!$A$2:$B$33,2,FALSE)))</f>
        <v/>
      </c>
      <c r="H442" s="7"/>
      <c r="I442" s="8" t="str">
        <f>IF(OR($H442="",NOT(ISNUMBER($G442))),"",MIN(DATE(YEAR($H442),MONTH($H442)+$G442,DAY($H442)),DATE(YEAR($H442),MONTH($H442)+$G442+1,0)))</f>
        <v/>
      </c>
      <c r="J442" s="6" t="str">
        <f>IF($I442="","",$I442-TODAY())</f>
        <v/>
      </c>
      <c r="K442" s="9" t="str">
        <f>IF($F442="","",IF(NOT(ISNUMBER($G442)),"Hors champ",IF($H442="","À renseigner",IF($J442&lt;0,"Dépassée",IF($J442&lt;=30,"À planifier","À jour")))))</f>
        <v/>
      </c>
      <c r="L442" s="5"/>
      <c r="M442" s="5"/>
      <c r="N442" s="5"/>
    </row>
    <row r="443" spans="1:14" x14ac:dyDescent="0.25">
      <c r="A443" s="5"/>
      <c r="B443" s="5"/>
      <c r="C443" s="5"/>
      <c r="D443" s="5"/>
      <c r="E443" s="5"/>
      <c r="F443" s="5"/>
      <c r="G443" s="6" t="str">
        <f>IF($F443="","",IF(ISNA(VLOOKUP($F443,'Référentiel VGP'!$A$2:$B$33,2,FALSE)),"",VLOOKUP($F443,'Référentiel VGP'!$A$2:$B$33,2,FALSE)))</f>
        <v/>
      </c>
      <c r="H443" s="7"/>
      <c r="I443" s="8" t="str">
        <f>IF(OR($H443="",NOT(ISNUMBER($G443))),"",MIN(DATE(YEAR($H443),MONTH($H443)+$G443,DAY($H443)),DATE(YEAR($H443),MONTH($H443)+$G443+1,0)))</f>
        <v/>
      </c>
      <c r="J443" s="6" t="str">
        <f>IF($I443="","",$I443-TODAY())</f>
        <v/>
      </c>
      <c r="K443" s="9" t="str">
        <f>IF($F443="","",IF(NOT(ISNUMBER($G443)),"Hors champ",IF($H443="","À renseigner",IF($J443&lt;0,"Dépassée",IF($J443&lt;=30,"À planifier","À jour")))))</f>
        <v/>
      </c>
      <c r="L443" s="5"/>
      <c r="M443" s="5"/>
      <c r="N443" s="5"/>
    </row>
    <row r="444" spans="1:14" x14ac:dyDescent="0.25">
      <c r="A444" s="5"/>
      <c r="B444" s="5"/>
      <c r="C444" s="5"/>
      <c r="D444" s="5"/>
      <c r="E444" s="5"/>
      <c r="F444" s="5"/>
      <c r="G444" s="6" t="str">
        <f>IF($F444="","",IF(ISNA(VLOOKUP($F444,'Référentiel VGP'!$A$2:$B$33,2,FALSE)),"",VLOOKUP($F444,'Référentiel VGP'!$A$2:$B$33,2,FALSE)))</f>
        <v/>
      </c>
      <c r="H444" s="7"/>
      <c r="I444" s="8" t="str">
        <f>IF(OR($H444="",NOT(ISNUMBER($G444))),"",MIN(DATE(YEAR($H444),MONTH($H444)+$G444,DAY($H444)),DATE(YEAR($H444),MONTH($H444)+$G444+1,0)))</f>
        <v/>
      </c>
      <c r="J444" s="6" t="str">
        <f>IF($I444="","",$I444-TODAY())</f>
        <v/>
      </c>
      <c r="K444" s="9" t="str">
        <f>IF($F444="","",IF(NOT(ISNUMBER($G444)),"Hors champ",IF($H444="","À renseigner",IF($J444&lt;0,"Dépassée",IF($J444&lt;=30,"À planifier","À jour")))))</f>
        <v/>
      </c>
      <c r="L444" s="5"/>
      <c r="M444" s="5"/>
      <c r="N444" s="5"/>
    </row>
    <row r="445" spans="1:14" x14ac:dyDescent="0.25">
      <c r="A445" s="5"/>
      <c r="B445" s="5"/>
      <c r="C445" s="5"/>
      <c r="D445" s="5"/>
      <c r="E445" s="5"/>
      <c r="F445" s="5"/>
      <c r="G445" s="6" t="str">
        <f>IF($F445="","",IF(ISNA(VLOOKUP($F445,'Référentiel VGP'!$A$2:$B$33,2,FALSE)),"",VLOOKUP($F445,'Référentiel VGP'!$A$2:$B$33,2,FALSE)))</f>
        <v/>
      </c>
      <c r="H445" s="7"/>
      <c r="I445" s="8" t="str">
        <f>IF(OR($H445="",NOT(ISNUMBER($G445))),"",MIN(DATE(YEAR($H445),MONTH($H445)+$G445,DAY($H445)),DATE(YEAR($H445),MONTH($H445)+$G445+1,0)))</f>
        <v/>
      </c>
      <c r="J445" s="6" t="str">
        <f>IF($I445="","",$I445-TODAY())</f>
        <v/>
      </c>
      <c r="K445" s="9" t="str">
        <f>IF($F445="","",IF(NOT(ISNUMBER($G445)),"Hors champ",IF($H445="","À renseigner",IF($J445&lt;0,"Dépassée",IF($J445&lt;=30,"À planifier","À jour")))))</f>
        <v/>
      </c>
      <c r="L445" s="5"/>
      <c r="M445" s="5"/>
      <c r="N445" s="5"/>
    </row>
    <row r="446" spans="1:14" x14ac:dyDescent="0.25">
      <c r="A446" s="5"/>
      <c r="B446" s="5"/>
      <c r="C446" s="5"/>
      <c r="D446" s="5"/>
      <c r="E446" s="5"/>
      <c r="F446" s="5"/>
      <c r="G446" s="6" t="str">
        <f>IF($F446="","",IF(ISNA(VLOOKUP($F446,'Référentiel VGP'!$A$2:$B$33,2,FALSE)),"",VLOOKUP($F446,'Référentiel VGP'!$A$2:$B$33,2,FALSE)))</f>
        <v/>
      </c>
      <c r="H446" s="7"/>
      <c r="I446" s="8" t="str">
        <f>IF(OR($H446="",NOT(ISNUMBER($G446))),"",MIN(DATE(YEAR($H446),MONTH($H446)+$G446,DAY($H446)),DATE(YEAR($H446),MONTH($H446)+$G446+1,0)))</f>
        <v/>
      </c>
      <c r="J446" s="6" t="str">
        <f>IF($I446="","",$I446-TODAY())</f>
        <v/>
      </c>
      <c r="K446" s="9" t="str">
        <f>IF($F446="","",IF(NOT(ISNUMBER($G446)),"Hors champ",IF($H446="","À renseigner",IF($J446&lt;0,"Dépassée",IF($J446&lt;=30,"À planifier","À jour")))))</f>
        <v/>
      </c>
      <c r="L446" s="5"/>
      <c r="M446" s="5"/>
      <c r="N446" s="5"/>
    </row>
    <row r="447" spans="1:14" x14ac:dyDescent="0.25">
      <c r="A447" s="5"/>
      <c r="B447" s="5"/>
      <c r="C447" s="5"/>
      <c r="D447" s="5"/>
      <c r="E447" s="5"/>
      <c r="F447" s="5"/>
      <c r="G447" s="6" t="str">
        <f>IF($F447="","",IF(ISNA(VLOOKUP($F447,'Référentiel VGP'!$A$2:$B$33,2,FALSE)),"",VLOOKUP($F447,'Référentiel VGP'!$A$2:$B$33,2,FALSE)))</f>
        <v/>
      </c>
      <c r="H447" s="7"/>
      <c r="I447" s="8" t="str">
        <f>IF(OR($H447="",NOT(ISNUMBER($G447))),"",MIN(DATE(YEAR($H447),MONTH($H447)+$G447,DAY($H447)),DATE(YEAR($H447),MONTH($H447)+$G447+1,0)))</f>
        <v/>
      </c>
      <c r="J447" s="6" t="str">
        <f>IF($I447="","",$I447-TODAY())</f>
        <v/>
      </c>
      <c r="K447" s="9" t="str">
        <f>IF($F447="","",IF(NOT(ISNUMBER($G447)),"Hors champ",IF($H447="","À renseigner",IF($J447&lt;0,"Dépassée",IF($J447&lt;=30,"À planifier","À jour")))))</f>
        <v/>
      </c>
      <c r="L447" s="5"/>
      <c r="M447" s="5"/>
      <c r="N447" s="5"/>
    </row>
    <row r="448" spans="1:14" x14ac:dyDescent="0.25">
      <c r="A448" s="5"/>
      <c r="B448" s="5"/>
      <c r="C448" s="5"/>
      <c r="D448" s="5"/>
      <c r="E448" s="5"/>
      <c r="F448" s="5"/>
      <c r="G448" s="6" t="str">
        <f>IF($F448="","",IF(ISNA(VLOOKUP($F448,'Référentiel VGP'!$A$2:$B$33,2,FALSE)),"",VLOOKUP($F448,'Référentiel VGP'!$A$2:$B$33,2,FALSE)))</f>
        <v/>
      </c>
      <c r="H448" s="7"/>
      <c r="I448" s="8" t="str">
        <f>IF(OR($H448="",NOT(ISNUMBER($G448))),"",MIN(DATE(YEAR($H448),MONTH($H448)+$G448,DAY($H448)),DATE(YEAR($H448),MONTH($H448)+$G448+1,0)))</f>
        <v/>
      </c>
      <c r="J448" s="6" t="str">
        <f>IF($I448="","",$I448-TODAY())</f>
        <v/>
      </c>
      <c r="K448" s="9" t="str">
        <f>IF($F448="","",IF(NOT(ISNUMBER($G448)),"Hors champ",IF($H448="","À renseigner",IF($J448&lt;0,"Dépassée",IF($J448&lt;=30,"À planifier","À jour")))))</f>
        <v/>
      </c>
      <c r="L448" s="5"/>
      <c r="M448" s="5"/>
      <c r="N448" s="5"/>
    </row>
    <row r="449" spans="1:14" x14ac:dyDescent="0.25">
      <c r="A449" s="5"/>
      <c r="B449" s="5"/>
      <c r="C449" s="5"/>
      <c r="D449" s="5"/>
      <c r="E449" s="5"/>
      <c r="F449" s="5"/>
      <c r="G449" s="6" t="str">
        <f>IF($F449="","",IF(ISNA(VLOOKUP($F449,'Référentiel VGP'!$A$2:$B$33,2,FALSE)),"",VLOOKUP($F449,'Référentiel VGP'!$A$2:$B$33,2,FALSE)))</f>
        <v/>
      </c>
      <c r="H449" s="7"/>
      <c r="I449" s="8" t="str">
        <f>IF(OR($H449="",NOT(ISNUMBER($G449))),"",MIN(DATE(YEAR($H449),MONTH($H449)+$G449,DAY($H449)),DATE(YEAR($H449),MONTH($H449)+$G449+1,0)))</f>
        <v/>
      </c>
      <c r="J449" s="6" t="str">
        <f>IF($I449="","",$I449-TODAY())</f>
        <v/>
      </c>
      <c r="K449" s="9" t="str">
        <f>IF($F449="","",IF(NOT(ISNUMBER($G449)),"Hors champ",IF($H449="","À renseigner",IF($J449&lt;0,"Dépassée",IF($J449&lt;=30,"À planifier","À jour")))))</f>
        <v/>
      </c>
      <c r="L449" s="5"/>
      <c r="M449" s="5"/>
      <c r="N449" s="5"/>
    </row>
    <row r="450" spans="1:14" x14ac:dyDescent="0.25">
      <c r="A450" s="5"/>
      <c r="B450" s="5"/>
      <c r="C450" s="5"/>
      <c r="D450" s="5"/>
      <c r="E450" s="5"/>
      <c r="F450" s="5"/>
      <c r="G450" s="6" t="str">
        <f>IF($F450="","",IF(ISNA(VLOOKUP($F450,'Référentiel VGP'!$A$2:$B$33,2,FALSE)),"",VLOOKUP($F450,'Référentiel VGP'!$A$2:$B$33,2,FALSE)))</f>
        <v/>
      </c>
      <c r="H450" s="7"/>
      <c r="I450" s="8" t="str">
        <f>IF(OR($H450="",NOT(ISNUMBER($G450))),"",MIN(DATE(YEAR($H450),MONTH($H450)+$G450,DAY($H450)),DATE(YEAR($H450),MONTH($H450)+$G450+1,0)))</f>
        <v/>
      </c>
      <c r="J450" s="6" t="str">
        <f>IF($I450="","",$I450-TODAY())</f>
        <v/>
      </c>
      <c r="K450" s="9" t="str">
        <f>IF($F450="","",IF(NOT(ISNUMBER($G450)),"Hors champ",IF($H450="","À renseigner",IF($J450&lt;0,"Dépassée",IF($J450&lt;=30,"À planifier","À jour")))))</f>
        <v/>
      </c>
      <c r="L450" s="5"/>
      <c r="M450" s="5"/>
      <c r="N450" s="5"/>
    </row>
    <row r="451" spans="1:14" x14ac:dyDescent="0.25">
      <c r="A451" s="5"/>
      <c r="B451" s="5"/>
      <c r="C451" s="5"/>
      <c r="D451" s="5"/>
      <c r="E451" s="5"/>
      <c r="F451" s="5"/>
      <c r="G451" s="6" t="str">
        <f>IF($F451="","",IF(ISNA(VLOOKUP($F451,'Référentiel VGP'!$A$2:$B$33,2,FALSE)),"",VLOOKUP($F451,'Référentiel VGP'!$A$2:$B$33,2,FALSE)))</f>
        <v/>
      </c>
      <c r="H451" s="7"/>
      <c r="I451" s="8" t="str">
        <f>IF(OR($H451="",NOT(ISNUMBER($G451))),"",MIN(DATE(YEAR($H451),MONTH($H451)+$G451,DAY($H451)),DATE(YEAR($H451),MONTH($H451)+$G451+1,0)))</f>
        <v/>
      </c>
      <c r="J451" s="6" t="str">
        <f>IF($I451="","",$I451-TODAY())</f>
        <v/>
      </c>
      <c r="K451" s="9" t="str">
        <f>IF($F451="","",IF(NOT(ISNUMBER($G451)),"Hors champ",IF($H451="","À renseigner",IF($J451&lt;0,"Dépassée",IF($J451&lt;=30,"À planifier","À jour")))))</f>
        <v/>
      </c>
      <c r="L451" s="5"/>
      <c r="M451" s="5"/>
      <c r="N451" s="5"/>
    </row>
    <row r="452" spans="1:14" x14ac:dyDescent="0.25">
      <c r="A452" s="5"/>
      <c r="B452" s="5"/>
      <c r="C452" s="5"/>
      <c r="D452" s="5"/>
      <c r="E452" s="5"/>
      <c r="F452" s="5"/>
      <c r="G452" s="6" t="str">
        <f>IF($F452="","",IF(ISNA(VLOOKUP($F452,'Référentiel VGP'!$A$2:$B$33,2,FALSE)),"",VLOOKUP($F452,'Référentiel VGP'!$A$2:$B$33,2,FALSE)))</f>
        <v/>
      </c>
      <c r="H452" s="7"/>
      <c r="I452" s="8" t="str">
        <f>IF(OR($H452="",NOT(ISNUMBER($G452))),"",MIN(DATE(YEAR($H452),MONTH($H452)+$G452,DAY($H452)),DATE(YEAR($H452),MONTH($H452)+$G452+1,0)))</f>
        <v/>
      </c>
      <c r="J452" s="6" t="str">
        <f>IF($I452="","",$I452-TODAY())</f>
        <v/>
      </c>
      <c r="K452" s="9" t="str">
        <f>IF($F452="","",IF(NOT(ISNUMBER($G452)),"Hors champ",IF($H452="","À renseigner",IF($J452&lt;0,"Dépassée",IF($J452&lt;=30,"À planifier","À jour")))))</f>
        <v/>
      </c>
      <c r="L452" s="5"/>
      <c r="M452" s="5"/>
      <c r="N452" s="5"/>
    </row>
    <row r="453" spans="1:14" x14ac:dyDescent="0.25">
      <c r="A453" s="5"/>
      <c r="B453" s="5"/>
      <c r="C453" s="5"/>
      <c r="D453" s="5"/>
      <c r="E453" s="5"/>
      <c r="F453" s="5"/>
      <c r="G453" s="6" t="str">
        <f>IF($F453="","",IF(ISNA(VLOOKUP($F453,'Référentiel VGP'!$A$2:$B$33,2,FALSE)),"",VLOOKUP($F453,'Référentiel VGP'!$A$2:$B$33,2,FALSE)))</f>
        <v/>
      </c>
      <c r="H453" s="7"/>
      <c r="I453" s="8" t="str">
        <f>IF(OR($H453="",NOT(ISNUMBER($G453))),"",MIN(DATE(YEAR($H453),MONTH($H453)+$G453,DAY($H453)),DATE(YEAR($H453),MONTH($H453)+$G453+1,0)))</f>
        <v/>
      </c>
      <c r="J453" s="6" t="str">
        <f>IF($I453="","",$I453-TODAY())</f>
        <v/>
      </c>
      <c r="K453" s="9" t="str">
        <f>IF($F453="","",IF(NOT(ISNUMBER($G453)),"Hors champ",IF($H453="","À renseigner",IF($J453&lt;0,"Dépassée",IF($J453&lt;=30,"À planifier","À jour")))))</f>
        <v/>
      </c>
      <c r="L453" s="5"/>
      <c r="M453" s="5"/>
      <c r="N453" s="5"/>
    </row>
    <row r="454" spans="1:14" x14ac:dyDescent="0.25">
      <c r="A454" s="5"/>
      <c r="B454" s="5"/>
      <c r="C454" s="5"/>
      <c r="D454" s="5"/>
      <c r="E454" s="5"/>
      <c r="F454" s="5"/>
      <c r="G454" s="6" t="str">
        <f>IF($F454="","",IF(ISNA(VLOOKUP($F454,'Référentiel VGP'!$A$2:$B$33,2,FALSE)),"",VLOOKUP($F454,'Référentiel VGP'!$A$2:$B$33,2,FALSE)))</f>
        <v/>
      </c>
      <c r="H454" s="7"/>
      <c r="I454" s="8" t="str">
        <f>IF(OR($H454="",NOT(ISNUMBER($G454))),"",MIN(DATE(YEAR($H454),MONTH($H454)+$G454,DAY($H454)),DATE(YEAR($H454),MONTH($H454)+$G454+1,0)))</f>
        <v/>
      </c>
      <c r="J454" s="6" t="str">
        <f>IF($I454="","",$I454-TODAY())</f>
        <v/>
      </c>
      <c r="K454" s="9" t="str">
        <f>IF($F454="","",IF(NOT(ISNUMBER($G454)),"Hors champ",IF($H454="","À renseigner",IF($J454&lt;0,"Dépassée",IF($J454&lt;=30,"À planifier","À jour")))))</f>
        <v/>
      </c>
      <c r="L454" s="5"/>
      <c r="M454" s="5"/>
      <c r="N454" s="5"/>
    </row>
    <row r="455" spans="1:14" x14ac:dyDescent="0.25">
      <c r="A455" s="5"/>
      <c r="B455" s="5"/>
      <c r="C455" s="5"/>
      <c r="D455" s="5"/>
      <c r="E455" s="5"/>
      <c r="F455" s="5"/>
      <c r="G455" s="6" t="str">
        <f>IF($F455="","",IF(ISNA(VLOOKUP($F455,'Référentiel VGP'!$A$2:$B$33,2,FALSE)),"",VLOOKUP($F455,'Référentiel VGP'!$A$2:$B$33,2,FALSE)))</f>
        <v/>
      </c>
      <c r="H455" s="7"/>
      <c r="I455" s="8" t="str">
        <f>IF(OR($H455="",NOT(ISNUMBER($G455))),"",MIN(DATE(YEAR($H455),MONTH($H455)+$G455,DAY($H455)),DATE(YEAR($H455),MONTH($H455)+$G455+1,0)))</f>
        <v/>
      </c>
      <c r="J455" s="6" t="str">
        <f>IF($I455="","",$I455-TODAY())</f>
        <v/>
      </c>
      <c r="K455" s="9" t="str">
        <f>IF($F455="","",IF(NOT(ISNUMBER($G455)),"Hors champ",IF($H455="","À renseigner",IF($J455&lt;0,"Dépassée",IF($J455&lt;=30,"À planifier","À jour")))))</f>
        <v/>
      </c>
      <c r="L455" s="5"/>
      <c r="M455" s="5"/>
      <c r="N455" s="5"/>
    </row>
    <row r="456" spans="1:14" x14ac:dyDescent="0.25">
      <c r="A456" s="5"/>
      <c r="B456" s="5"/>
      <c r="C456" s="5"/>
      <c r="D456" s="5"/>
      <c r="E456" s="5"/>
      <c r="F456" s="5"/>
      <c r="G456" s="6" t="str">
        <f>IF($F456="","",IF(ISNA(VLOOKUP($F456,'Référentiel VGP'!$A$2:$B$33,2,FALSE)),"",VLOOKUP($F456,'Référentiel VGP'!$A$2:$B$33,2,FALSE)))</f>
        <v/>
      </c>
      <c r="H456" s="7"/>
      <c r="I456" s="8" t="str">
        <f>IF(OR($H456="",NOT(ISNUMBER($G456))),"",MIN(DATE(YEAR($H456),MONTH($H456)+$G456,DAY($H456)),DATE(YEAR($H456),MONTH($H456)+$G456+1,0)))</f>
        <v/>
      </c>
      <c r="J456" s="6" t="str">
        <f>IF($I456="","",$I456-TODAY())</f>
        <v/>
      </c>
      <c r="K456" s="9" t="str">
        <f>IF($F456="","",IF(NOT(ISNUMBER($G456)),"Hors champ",IF($H456="","À renseigner",IF($J456&lt;0,"Dépassée",IF($J456&lt;=30,"À planifier","À jour")))))</f>
        <v/>
      </c>
      <c r="L456" s="5"/>
      <c r="M456" s="5"/>
      <c r="N456" s="5"/>
    </row>
    <row r="457" spans="1:14" x14ac:dyDescent="0.25">
      <c r="A457" s="5"/>
      <c r="B457" s="5"/>
      <c r="C457" s="5"/>
      <c r="D457" s="5"/>
      <c r="E457" s="5"/>
      <c r="F457" s="5"/>
      <c r="G457" s="6" t="str">
        <f>IF($F457="","",IF(ISNA(VLOOKUP($F457,'Référentiel VGP'!$A$2:$B$33,2,FALSE)),"",VLOOKUP($F457,'Référentiel VGP'!$A$2:$B$33,2,FALSE)))</f>
        <v/>
      </c>
      <c r="H457" s="7"/>
      <c r="I457" s="8" t="str">
        <f>IF(OR($H457="",NOT(ISNUMBER($G457))),"",MIN(DATE(YEAR($H457),MONTH($H457)+$G457,DAY($H457)),DATE(YEAR($H457),MONTH($H457)+$G457+1,0)))</f>
        <v/>
      </c>
      <c r="J457" s="6" t="str">
        <f>IF($I457="","",$I457-TODAY())</f>
        <v/>
      </c>
      <c r="K457" s="9" t="str">
        <f>IF($F457="","",IF(NOT(ISNUMBER($G457)),"Hors champ",IF($H457="","À renseigner",IF($J457&lt;0,"Dépassée",IF($J457&lt;=30,"À planifier","À jour")))))</f>
        <v/>
      </c>
      <c r="L457" s="5"/>
      <c r="M457" s="5"/>
      <c r="N457" s="5"/>
    </row>
    <row r="458" spans="1:14" x14ac:dyDescent="0.25">
      <c r="A458" s="5"/>
      <c r="B458" s="5"/>
      <c r="C458" s="5"/>
      <c r="D458" s="5"/>
      <c r="E458" s="5"/>
      <c r="F458" s="5"/>
      <c r="G458" s="6" t="str">
        <f>IF($F458="","",IF(ISNA(VLOOKUP($F458,'Référentiel VGP'!$A$2:$B$33,2,FALSE)),"",VLOOKUP($F458,'Référentiel VGP'!$A$2:$B$33,2,FALSE)))</f>
        <v/>
      </c>
      <c r="H458" s="7"/>
      <c r="I458" s="8" t="str">
        <f>IF(OR($H458="",NOT(ISNUMBER($G458))),"",MIN(DATE(YEAR($H458),MONTH($H458)+$G458,DAY($H458)),DATE(YEAR($H458),MONTH($H458)+$G458+1,0)))</f>
        <v/>
      </c>
      <c r="J458" s="6" t="str">
        <f>IF($I458="","",$I458-TODAY())</f>
        <v/>
      </c>
      <c r="K458" s="9" t="str">
        <f>IF($F458="","",IF(NOT(ISNUMBER($G458)),"Hors champ",IF($H458="","À renseigner",IF($J458&lt;0,"Dépassée",IF($J458&lt;=30,"À planifier","À jour")))))</f>
        <v/>
      </c>
      <c r="L458" s="5"/>
      <c r="M458" s="5"/>
      <c r="N458" s="5"/>
    </row>
    <row r="459" spans="1:14" x14ac:dyDescent="0.25">
      <c r="A459" s="5"/>
      <c r="B459" s="5"/>
      <c r="C459" s="5"/>
      <c r="D459" s="5"/>
      <c r="E459" s="5"/>
      <c r="F459" s="5"/>
      <c r="G459" s="6" t="str">
        <f>IF($F459="","",IF(ISNA(VLOOKUP($F459,'Référentiel VGP'!$A$2:$B$33,2,FALSE)),"",VLOOKUP($F459,'Référentiel VGP'!$A$2:$B$33,2,FALSE)))</f>
        <v/>
      </c>
      <c r="H459" s="7"/>
      <c r="I459" s="8" t="str">
        <f>IF(OR($H459="",NOT(ISNUMBER($G459))),"",MIN(DATE(YEAR($H459),MONTH($H459)+$G459,DAY($H459)),DATE(YEAR($H459),MONTH($H459)+$G459+1,0)))</f>
        <v/>
      </c>
      <c r="J459" s="6" t="str">
        <f>IF($I459="","",$I459-TODAY())</f>
        <v/>
      </c>
      <c r="K459" s="9" t="str">
        <f>IF($F459="","",IF(NOT(ISNUMBER($G459)),"Hors champ",IF($H459="","À renseigner",IF($J459&lt;0,"Dépassée",IF($J459&lt;=30,"À planifier","À jour")))))</f>
        <v/>
      </c>
      <c r="L459" s="5"/>
      <c r="M459" s="5"/>
      <c r="N459" s="5"/>
    </row>
    <row r="460" spans="1:14" x14ac:dyDescent="0.25">
      <c r="A460" s="5"/>
      <c r="B460" s="5"/>
      <c r="C460" s="5"/>
      <c r="D460" s="5"/>
      <c r="E460" s="5"/>
      <c r="F460" s="5"/>
      <c r="G460" s="6" t="str">
        <f>IF($F460="","",IF(ISNA(VLOOKUP($F460,'Référentiel VGP'!$A$2:$B$33,2,FALSE)),"",VLOOKUP($F460,'Référentiel VGP'!$A$2:$B$33,2,FALSE)))</f>
        <v/>
      </c>
      <c r="H460" s="7"/>
      <c r="I460" s="8" t="str">
        <f>IF(OR($H460="",NOT(ISNUMBER($G460))),"",MIN(DATE(YEAR($H460),MONTH($H460)+$G460,DAY($H460)),DATE(YEAR($H460),MONTH($H460)+$G460+1,0)))</f>
        <v/>
      </c>
      <c r="J460" s="6" t="str">
        <f>IF($I460="","",$I460-TODAY())</f>
        <v/>
      </c>
      <c r="K460" s="9" t="str">
        <f>IF($F460="","",IF(NOT(ISNUMBER($G460)),"Hors champ",IF($H460="","À renseigner",IF($J460&lt;0,"Dépassée",IF($J460&lt;=30,"À planifier","À jour")))))</f>
        <v/>
      </c>
      <c r="L460" s="5"/>
      <c r="M460" s="5"/>
      <c r="N460" s="5"/>
    </row>
    <row r="461" spans="1:14" x14ac:dyDescent="0.25">
      <c r="A461" s="5"/>
      <c r="B461" s="5"/>
      <c r="C461" s="5"/>
      <c r="D461" s="5"/>
      <c r="E461" s="5"/>
      <c r="F461" s="5"/>
      <c r="G461" s="6" t="str">
        <f>IF($F461="","",IF(ISNA(VLOOKUP($F461,'Référentiel VGP'!$A$2:$B$33,2,FALSE)),"",VLOOKUP($F461,'Référentiel VGP'!$A$2:$B$33,2,FALSE)))</f>
        <v/>
      </c>
      <c r="H461" s="7"/>
      <c r="I461" s="8" t="str">
        <f>IF(OR($H461="",NOT(ISNUMBER($G461))),"",MIN(DATE(YEAR($H461),MONTH($H461)+$G461,DAY($H461)),DATE(YEAR($H461),MONTH($H461)+$G461+1,0)))</f>
        <v/>
      </c>
      <c r="J461" s="6" t="str">
        <f>IF($I461="","",$I461-TODAY())</f>
        <v/>
      </c>
      <c r="K461" s="9" t="str">
        <f>IF($F461="","",IF(NOT(ISNUMBER($G461)),"Hors champ",IF($H461="","À renseigner",IF($J461&lt;0,"Dépassée",IF($J461&lt;=30,"À planifier","À jour")))))</f>
        <v/>
      </c>
      <c r="L461" s="5"/>
      <c r="M461" s="5"/>
      <c r="N461" s="5"/>
    </row>
    <row r="462" spans="1:14" x14ac:dyDescent="0.25">
      <c r="A462" s="5"/>
      <c r="B462" s="5"/>
      <c r="C462" s="5"/>
      <c r="D462" s="5"/>
      <c r="E462" s="5"/>
      <c r="F462" s="5"/>
      <c r="G462" s="6" t="str">
        <f>IF($F462="","",IF(ISNA(VLOOKUP($F462,'Référentiel VGP'!$A$2:$B$33,2,FALSE)),"",VLOOKUP($F462,'Référentiel VGP'!$A$2:$B$33,2,FALSE)))</f>
        <v/>
      </c>
      <c r="H462" s="7"/>
      <c r="I462" s="8" t="str">
        <f>IF(OR($H462="",NOT(ISNUMBER($G462))),"",MIN(DATE(YEAR($H462),MONTH($H462)+$G462,DAY($H462)),DATE(YEAR($H462),MONTH($H462)+$G462+1,0)))</f>
        <v/>
      </c>
      <c r="J462" s="6" t="str">
        <f>IF($I462="","",$I462-TODAY())</f>
        <v/>
      </c>
      <c r="K462" s="9" t="str">
        <f>IF($F462="","",IF(NOT(ISNUMBER($G462)),"Hors champ",IF($H462="","À renseigner",IF($J462&lt;0,"Dépassée",IF($J462&lt;=30,"À planifier","À jour")))))</f>
        <v/>
      </c>
      <c r="L462" s="5"/>
      <c r="M462" s="5"/>
      <c r="N462" s="5"/>
    </row>
    <row r="463" spans="1:14" x14ac:dyDescent="0.25">
      <c r="A463" s="5"/>
      <c r="B463" s="5"/>
      <c r="C463" s="5"/>
      <c r="D463" s="5"/>
      <c r="E463" s="5"/>
      <c r="F463" s="5"/>
      <c r="G463" s="6" t="str">
        <f>IF($F463="","",IF(ISNA(VLOOKUP($F463,'Référentiel VGP'!$A$2:$B$33,2,FALSE)),"",VLOOKUP($F463,'Référentiel VGP'!$A$2:$B$33,2,FALSE)))</f>
        <v/>
      </c>
      <c r="H463" s="7"/>
      <c r="I463" s="8" t="str">
        <f>IF(OR($H463="",NOT(ISNUMBER($G463))),"",MIN(DATE(YEAR($H463),MONTH($H463)+$G463,DAY($H463)),DATE(YEAR($H463),MONTH($H463)+$G463+1,0)))</f>
        <v/>
      </c>
      <c r="J463" s="6" t="str">
        <f>IF($I463="","",$I463-TODAY())</f>
        <v/>
      </c>
      <c r="K463" s="9" t="str">
        <f>IF($F463="","",IF(NOT(ISNUMBER($G463)),"Hors champ",IF($H463="","À renseigner",IF($J463&lt;0,"Dépassée",IF($J463&lt;=30,"À planifier","À jour")))))</f>
        <v/>
      </c>
      <c r="L463" s="5"/>
      <c r="M463" s="5"/>
      <c r="N463" s="5"/>
    </row>
    <row r="464" spans="1:14" x14ac:dyDescent="0.25">
      <c r="A464" s="5"/>
      <c r="B464" s="5"/>
      <c r="C464" s="5"/>
      <c r="D464" s="5"/>
      <c r="E464" s="5"/>
      <c r="F464" s="5"/>
      <c r="G464" s="6" t="str">
        <f>IF($F464="","",IF(ISNA(VLOOKUP($F464,'Référentiel VGP'!$A$2:$B$33,2,FALSE)),"",VLOOKUP($F464,'Référentiel VGP'!$A$2:$B$33,2,FALSE)))</f>
        <v/>
      </c>
      <c r="H464" s="7"/>
      <c r="I464" s="8" t="str">
        <f>IF(OR($H464="",NOT(ISNUMBER($G464))),"",MIN(DATE(YEAR($H464),MONTH($H464)+$G464,DAY($H464)),DATE(YEAR($H464),MONTH($H464)+$G464+1,0)))</f>
        <v/>
      </c>
      <c r="J464" s="6" t="str">
        <f>IF($I464="","",$I464-TODAY())</f>
        <v/>
      </c>
      <c r="K464" s="9" t="str">
        <f>IF($F464="","",IF(NOT(ISNUMBER($G464)),"Hors champ",IF($H464="","À renseigner",IF($J464&lt;0,"Dépassée",IF($J464&lt;=30,"À planifier","À jour")))))</f>
        <v/>
      </c>
      <c r="L464" s="5"/>
      <c r="M464" s="5"/>
      <c r="N464" s="5"/>
    </row>
    <row r="465" spans="1:14" x14ac:dyDescent="0.25">
      <c r="A465" s="5"/>
      <c r="B465" s="5"/>
      <c r="C465" s="5"/>
      <c r="D465" s="5"/>
      <c r="E465" s="5"/>
      <c r="F465" s="5"/>
      <c r="G465" s="6" t="str">
        <f>IF($F465="","",IF(ISNA(VLOOKUP($F465,'Référentiel VGP'!$A$2:$B$33,2,FALSE)),"",VLOOKUP($F465,'Référentiel VGP'!$A$2:$B$33,2,FALSE)))</f>
        <v/>
      </c>
      <c r="H465" s="7"/>
      <c r="I465" s="8" t="str">
        <f>IF(OR($H465="",NOT(ISNUMBER($G465))),"",MIN(DATE(YEAR($H465),MONTH($H465)+$G465,DAY($H465)),DATE(YEAR($H465),MONTH($H465)+$G465+1,0)))</f>
        <v/>
      </c>
      <c r="J465" s="6" t="str">
        <f>IF($I465="","",$I465-TODAY())</f>
        <v/>
      </c>
      <c r="K465" s="9" t="str">
        <f>IF($F465="","",IF(NOT(ISNUMBER($G465)),"Hors champ",IF($H465="","À renseigner",IF($J465&lt;0,"Dépassée",IF($J465&lt;=30,"À planifier","À jour")))))</f>
        <v/>
      </c>
      <c r="L465" s="5"/>
      <c r="M465" s="5"/>
      <c r="N465" s="5"/>
    </row>
    <row r="466" spans="1:14" x14ac:dyDescent="0.25">
      <c r="A466" s="5"/>
      <c r="B466" s="5"/>
      <c r="C466" s="5"/>
      <c r="D466" s="5"/>
      <c r="E466" s="5"/>
      <c r="F466" s="5"/>
      <c r="G466" s="6" t="str">
        <f>IF($F466="","",IF(ISNA(VLOOKUP($F466,'Référentiel VGP'!$A$2:$B$33,2,FALSE)),"",VLOOKUP($F466,'Référentiel VGP'!$A$2:$B$33,2,FALSE)))</f>
        <v/>
      </c>
      <c r="H466" s="7"/>
      <c r="I466" s="8" t="str">
        <f>IF(OR($H466="",NOT(ISNUMBER($G466))),"",MIN(DATE(YEAR($H466),MONTH($H466)+$G466,DAY($H466)),DATE(YEAR($H466),MONTH($H466)+$G466+1,0)))</f>
        <v/>
      </c>
      <c r="J466" s="6" t="str">
        <f>IF($I466="","",$I466-TODAY())</f>
        <v/>
      </c>
      <c r="K466" s="9" t="str">
        <f>IF($F466="","",IF(NOT(ISNUMBER($G466)),"Hors champ",IF($H466="","À renseigner",IF($J466&lt;0,"Dépassée",IF($J466&lt;=30,"À planifier","À jour")))))</f>
        <v/>
      </c>
      <c r="L466" s="5"/>
      <c r="M466" s="5"/>
      <c r="N466" s="5"/>
    </row>
    <row r="467" spans="1:14" x14ac:dyDescent="0.25">
      <c r="A467" s="5"/>
      <c r="B467" s="5"/>
      <c r="C467" s="5"/>
      <c r="D467" s="5"/>
      <c r="E467" s="5"/>
      <c r="F467" s="5"/>
      <c r="G467" s="6" t="str">
        <f>IF($F467="","",IF(ISNA(VLOOKUP($F467,'Référentiel VGP'!$A$2:$B$33,2,FALSE)),"",VLOOKUP($F467,'Référentiel VGP'!$A$2:$B$33,2,FALSE)))</f>
        <v/>
      </c>
      <c r="H467" s="7"/>
      <c r="I467" s="8" t="str">
        <f>IF(OR($H467="",NOT(ISNUMBER($G467))),"",MIN(DATE(YEAR($H467),MONTH($H467)+$G467,DAY($H467)),DATE(YEAR($H467),MONTH($H467)+$G467+1,0)))</f>
        <v/>
      </c>
      <c r="J467" s="6" t="str">
        <f>IF($I467="","",$I467-TODAY())</f>
        <v/>
      </c>
      <c r="K467" s="9" t="str">
        <f>IF($F467="","",IF(NOT(ISNUMBER($G467)),"Hors champ",IF($H467="","À renseigner",IF($J467&lt;0,"Dépassée",IF($J467&lt;=30,"À planifier","À jour")))))</f>
        <v/>
      </c>
      <c r="L467" s="5"/>
      <c r="M467" s="5"/>
      <c r="N467" s="5"/>
    </row>
    <row r="468" spans="1:14" x14ac:dyDescent="0.25">
      <c r="A468" s="5"/>
      <c r="B468" s="5"/>
      <c r="C468" s="5"/>
      <c r="D468" s="5"/>
      <c r="E468" s="5"/>
      <c r="F468" s="5"/>
      <c r="G468" s="6" t="str">
        <f>IF($F468="","",IF(ISNA(VLOOKUP($F468,'Référentiel VGP'!$A$2:$B$33,2,FALSE)),"",VLOOKUP($F468,'Référentiel VGP'!$A$2:$B$33,2,FALSE)))</f>
        <v/>
      </c>
      <c r="H468" s="7"/>
      <c r="I468" s="8" t="str">
        <f>IF(OR($H468="",NOT(ISNUMBER($G468))),"",MIN(DATE(YEAR($H468),MONTH($H468)+$G468,DAY($H468)),DATE(YEAR($H468),MONTH($H468)+$G468+1,0)))</f>
        <v/>
      </c>
      <c r="J468" s="6" t="str">
        <f>IF($I468="","",$I468-TODAY())</f>
        <v/>
      </c>
      <c r="K468" s="9" t="str">
        <f>IF($F468="","",IF(NOT(ISNUMBER($G468)),"Hors champ",IF($H468="","À renseigner",IF($J468&lt;0,"Dépassée",IF($J468&lt;=30,"À planifier","À jour")))))</f>
        <v/>
      </c>
      <c r="L468" s="5"/>
      <c r="M468" s="5"/>
      <c r="N468" s="5"/>
    </row>
    <row r="469" spans="1:14" x14ac:dyDescent="0.25">
      <c r="A469" s="5"/>
      <c r="B469" s="5"/>
      <c r="C469" s="5"/>
      <c r="D469" s="5"/>
      <c r="E469" s="5"/>
      <c r="F469" s="5"/>
      <c r="G469" s="6" t="str">
        <f>IF($F469="","",IF(ISNA(VLOOKUP($F469,'Référentiel VGP'!$A$2:$B$33,2,FALSE)),"",VLOOKUP($F469,'Référentiel VGP'!$A$2:$B$33,2,FALSE)))</f>
        <v/>
      </c>
      <c r="H469" s="7"/>
      <c r="I469" s="8" t="str">
        <f>IF(OR($H469="",NOT(ISNUMBER($G469))),"",MIN(DATE(YEAR($H469),MONTH($H469)+$G469,DAY($H469)),DATE(YEAR($H469),MONTH($H469)+$G469+1,0)))</f>
        <v/>
      </c>
      <c r="J469" s="6" t="str">
        <f>IF($I469="","",$I469-TODAY())</f>
        <v/>
      </c>
      <c r="K469" s="9" t="str">
        <f>IF($F469="","",IF(NOT(ISNUMBER($G469)),"Hors champ",IF($H469="","À renseigner",IF($J469&lt;0,"Dépassée",IF($J469&lt;=30,"À planifier","À jour")))))</f>
        <v/>
      </c>
      <c r="L469" s="5"/>
      <c r="M469" s="5"/>
      <c r="N469" s="5"/>
    </row>
    <row r="470" spans="1:14" x14ac:dyDescent="0.25">
      <c r="A470" s="5"/>
      <c r="B470" s="5"/>
      <c r="C470" s="5"/>
      <c r="D470" s="5"/>
      <c r="E470" s="5"/>
      <c r="F470" s="5"/>
      <c r="G470" s="6" t="str">
        <f>IF($F470="","",IF(ISNA(VLOOKUP($F470,'Référentiel VGP'!$A$2:$B$33,2,FALSE)),"",VLOOKUP($F470,'Référentiel VGP'!$A$2:$B$33,2,FALSE)))</f>
        <v/>
      </c>
      <c r="H470" s="7"/>
      <c r="I470" s="8" t="str">
        <f>IF(OR($H470="",NOT(ISNUMBER($G470))),"",MIN(DATE(YEAR($H470),MONTH($H470)+$G470,DAY($H470)),DATE(YEAR($H470),MONTH($H470)+$G470+1,0)))</f>
        <v/>
      </c>
      <c r="J470" s="6" t="str">
        <f>IF($I470="","",$I470-TODAY())</f>
        <v/>
      </c>
      <c r="K470" s="9" t="str">
        <f>IF($F470="","",IF(NOT(ISNUMBER($G470)),"Hors champ",IF($H470="","À renseigner",IF($J470&lt;0,"Dépassée",IF($J470&lt;=30,"À planifier","À jour")))))</f>
        <v/>
      </c>
      <c r="L470" s="5"/>
      <c r="M470" s="5"/>
      <c r="N470" s="5"/>
    </row>
    <row r="471" spans="1:14" x14ac:dyDescent="0.25">
      <c r="A471" s="5"/>
      <c r="B471" s="5"/>
      <c r="C471" s="5"/>
      <c r="D471" s="5"/>
      <c r="E471" s="5"/>
      <c r="F471" s="5"/>
      <c r="G471" s="6" t="str">
        <f>IF($F471="","",IF(ISNA(VLOOKUP($F471,'Référentiel VGP'!$A$2:$B$33,2,FALSE)),"",VLOOKUP($F471,'Référentiel VGP'!$A$2:$B$33,2,FALSE)))</f>
        <v/>
      </c>
      <c r="H471" s="7"/>
      <c r="I471" s="8" t="str">
        <f>IF(OR($H471="",NOT(ISNUMBER($G471))),"",MIN(DATE(YEAR($H471),MONTH($H471)+$G471,DAY($H471)),DATE(YEAR($H471),MONTH($H471)+$G471+1,0)))</f>
        <v/>
      </c>
      <c r="J471" s="6" t="str">
        <f>IF($I471="","",$I471-TODAY())</f>
        <v/>
      </c>
      <c r="K471" s="9" t="str">
        <f>IF($F471="","",IF(NOT(ISNUMBER($G471)),"Hors champ",IF($H471="","À renseigner",IF($J471&lt;0,"Dépassée",IF($J471&lt;=30,"À planifier","À jour")))))</f>
        <v/>
      </c>
      <c r="L471" s="5"/>
      <c r="M471" s="5"/>
      <c r="N471" s="5"/>
    </row>
    <row r="472" spans="1:14" x14ac:dyDescent="0.25">
      <c r="A472" s="5"/>
      <c r="B472" s="5"/>
      <c r="C472" s="5"/>
      <c r="D472" s="5"/>
      <c r="E472" s="5"/>
      <c r="F472" s="5"/>
      <c r="G472" s="6" t="str">
        <f>IF($F472="","",IF(ISNA(VLOOKUP($F472,'Référentiel VGP'!$A$2:$B$33,2,FALSE)),"",VLOOKUP($F472,'Référentiel VGP'!$A$2:$B$33,2,FALSE)))</f>
        <v/>
      </c>
      <c r="H472" s="7"/>
      <c r="I472" s="8" t="str">
        <f>IF(OR($H472="",NOT(ISNUMBER($G472))),"",MIN(DATE(YEAR($H472),MONTH($H472)+$G472,DAY($H472)),DATE(YEAR($H472),MONTH($H472)+$G472+1,0)))</f>
        <v/>
      </c>
      <c r="J472" s="6" t="str">
        <f>IF($I472="","",$I472-TODAY())</f>
        <v/>
      </c>
      <c r="K472" s="9" t="str">
        <f>IF($F472="","",IF(NOT(ISNUMBER($G472)),"Hors champ",IF($H472="","À renseigner",IF($J472&lt;0,"Dépassée",IF($J472&lt;=30,"À planifier","À jour")))))</f>
        <v/>
      </c>
      <c r="L472" s="5"/>
      <c r="M472" s="5"/>
      <c r="N472" s="5"/>
    </row>
    <row r="473" spans="1:14" x14ac:dyDescent="0.25">
      <c r="A473" s="5"/>
      <c r="B473" s="5"/>
      <c r="C473" s="5"/>
      <c r="D473" s="5"/>
      <c r="E473" s="5"/>
      <c r="F473" s="5"/>
      <c r="G473" s="6" t="str">
        <f>IF($F473="","",IF(ISNA(VLOOKUP($F473,'Référentiel VGP'!$A$2:$B$33,2,FALSE)),"",VLOOKUP($F473,'Référentiel VGP'!$A$2:$B$33,2,FALSE)))</f>
        <v/>
      </c>
      <c r="H473" s="7"/>
      <c r="I473" s="8" t="str">
        <f>IF(OR($H473="",NOT(ISNUMBER($G473))),"",MIN(DATE(YEAR($H473),MONTH($H473)+$G473,DAY($H473)),DATE(YEAR($H473),MONTH($H473)+$G473+1,0)))</f>
        <v/>
      </c>
      <c r="J473" s="6" t="str">
        <f>IF($I473="","",$I473-TODAY())</f>
        <v/>
      </c>
      <c r="K473" s="9" t="str">
        <f>IF($F473="","",IF(NOT(ISNUMBER($G473)),"Hors champ",IF($H473="","À renseigner",IF($J473&lt;0,"Dépassée",IF($J473&lt;=30,"À planifier","À jour")))))</f>
        <v/>
      </c>
      <c r="L473" s="5"/>
      <c r="M473" s="5"/>
      <c r="N473" s="5"/>
    </row>
    <row r="474" spans="1:14" x14ac:dyDescent="0.25">
      <c r="A474" s="5"/>
      <c r="B474" s="5"/>
      <c r="C474" s="5"/>
      <c r="D474" s="5"/>
      <c r="E474" s="5"/>
      <c r="F474" s="5"/>
      <c r="G474" s="6" t="str">
        <f>IF($F474="","",IF(ISNA(VLOOKUP($F474,'Référentiel VGP'!$A$2:$B$33,2,FALSE)),"",VLOOKUP($F474,'Référentiel VGP'!$A$2:$B$33,2,FALSE)))</f>
        <v/>
      </c>
      <c r="H474" s="7"/>
      <c r="I474" s="8" t="str">
        <f>IF(OR($H474="",NOT(ISNUMBER($G474))),"",MIN(DATE(YEAR($H474),MONTH($H474)+$G474,DAY($H474)),DATE(YEAR($H474),MONTH($H474)+$G474+1,0)))</f>
        <v/>
      </c>
      <c r="J474" s="6" t="str">
        <f>IF($I474="","",$I474-TODAY())</f>
        <v/>
      </c>
      <c r="K474" s="9" t="str">
        <f>IF($F474="","",IF(NOT(ISNUMBER($G474)),"Hors champ",IF($H474="","À renseigner",IF($J474&lt;0,"Dépassée",IF($J474&lt;=30,"À planifier","À jour")))))</f>
        <v/>
      </c>
      <c r="L474" s="5"/>
      <c r="M474" s="5"/>
      <c r="N474" s="5"/>
    </row>
    <row r="475" spans="1:14" x14ac:dyDescent="0.25">
      <c r="A475" s="5"/>
      <c r="B475" s="5"/>
      <c r="C475" s="5"/>
      <c r="D475" s="5"/>
      <c r="E475" s="5"/>
      <c r="F475" s="5"/>
      <c r="G475" s="6" t="str">
        <f>IF($F475="","",IF(ISNA(VLOOKUP($F475,'Référentiel VGP'!$A$2:$B$33,2,FALSE)),"",VLOOKUP($F475,'Référentiel VGP'!$A$2:$B$33,2,FALSE)))</f>
        <v/>
      </c>
      <c r="H475" s="7"/>
      <c r="I475" s="8" t="str">
        <f>IF(OR($H475="",NOT(ISNUMBER($G475))),"",MIN(DATE(YEAR($H475),MONTH($H475)+$G475,DAY($H475)),DATE(YEAR($H475),MONTH($H475)+$G475+1,0)))</f>
        <v/>
      </c>
      <c r="J475" s="6" t="str">
        <f>IF($I475="","",$I475-TODAY())</f>
        <v/>
      </c>
      <c r="K475" s="9" t="str">
        <f>IF($F475="","",IF(NOT(ISNUMBER($G475)),"Hors champ",IF($H475="","À renseigner",IF($J475&lt;0,"Dépassée",IF($J475&lt;=30,"À planifier","À jour")))))</f>
        <v/>
      </c>
      <c r="L475" s="5"/>
      <c r="M475" s="5"/>
      <c r="N475" s="5"/>
    </row>
    <row r="476" spans="1:14" x14ac:dyDescent="0.25">
      <c r="A476" s="5"/>
      <c r="B476" s="5"/>
      <c r="C476" s="5"/>
      <c r="D476" s="5"/>
      <c r="E476" s="5"/>
      <c r="F476" s="5"/>
      <c r="G476" s="6" t="str">
        <f>IF($F476="","",IF(ISNA(VLOOKUP($F476,'Référentiel VGP'!$A$2:$B$33,2,FALSE)),"",VLOOKUP($F476,'Référentiel VGP'!$A$2:$B$33,2,FALSE)))</f>
        <v/>
      </c>
      <c r="H476" s="7"/>
      <c r="I476" s="8" t="str">
        <f>IF(OR($H476="",NOT(ISNUMBER($G476))),"",MIN(DATE(YEAR($H476),MONTH($H476)+$G476,DAY($H476)),DATE(YEAR($H476),MONTH($H476)+$G476+1,0)))</f>
        <v/>
      </c>
      <c r="J476" s="6" t="str">
        <f>IF($I476="","",$I476-TODAY())</f>
        <v/>
      </c>
      <c r="K476" s="9" t="str">
        <f>IF($F476="","",IF(NOT(ISNUMBER($G476)),"Hors champ",IF($H476="","À renseigner",IF($J476&lt;0,"Dépassée",IF($J476&lt;=30,"À planifier","À jour")))))</f>
        <v/>
      </c>
      <c r="L476" s="5"/>
      <c r="M476" s="5"/>
      <c r="N476" s="5"/>
    </row>
    <row r="477" spans="1:14" x14ac:dyDescent="0.25">
      <c r="A477" s="5"/>
      <c r="B477" s="5"/>
      <c r="C477" s="5"/>
      <c r="D477" s="5"/>
      <c r="E477" s="5"/>
      <c r="F477" s="5"/>
      <c r="G477" s="6" t="str">
        <f>IF($F477="","",IF(ISNA(VLOOKUP($F477,'Référentiel VGP'!$A$2:$B$33,2,FALSE)),"",VLOOKUP($F477,'Référentiel VGP'!$A$2:$B$33,2,FALSE)))</f>
        <v/>
      </c>
      <c r="H477" s="7"/>
      <c r="I477" s="8" t="str">
        <f>IF(OR($H477="",NOT(ISNUMBER($G477))),"",MIN(DATE(YEAR($H477),MONTH($H477)+$G477,DAY($H477)),DATE(YEAR($H477),MONTH($H477)+$G477+1,0)))</f>
        <v/>
      </c>
      <c r="J477" s="6" t="str">
        <f>IF($I477="","",$I477-TODAY())</f>
        <v/>
      </c>
      <c r="K477" s="9" t="str">
        <f>IF($F477="","",IF(NOT(ISNUMBER($G477)),"Hors champ",IF($H477="","À renseigner",IF($J477&lt;0,"Dépassée",IF($J477&lt;=30,"À planifier","À jour")))))</f>
        <v/>
      </c>
      <c r="L477" s="5"/>
      <c r="M477" s="5"/>
      <c r="N477" s="5"/>
    </row>
    <row r="478" spans="1:14" x14ac:dyDescent="0.25">
      <c r="A478" s="5"/>
      <c r="B478" s="5"/>
      <c r="C478" s="5"/>
      <c r="D478" s="5"/>
      <c r="E478" s="5"/>
      <c r="F478" s="5"/>
      <c r="G478" s="6" t="str">
        <f>IF($F478="","",IF(ISNA(VLOOKUP($F478,'Référentiel VGP'!$A$2:$B$33,2,FALSE)),"",VLOOKUP($F478,'Référentiel VGP'!$A$2:$B$33,2,FALSE)))</f>
        <v/>
      </c>
      <c r="H478" s="7"/>
      <c r="I478" s="8" t="str">
        <f>IF(OR($H478="",NOT(ISNUMBER($G478))),"",MIN(DATE(YEAR($H478),MONTH($H478)+$G478,DAY($H478)),DATE(YEAR($H478),MONTH($H478)+$G478+1,0)))</f>
        <v/>
      </c>
      <c r="J478" s="6" t="str">
        <f>IF($I478="","",$I478-TODAY())</f>
        <v/>
      </c>
      <c r="K478" s="9" t="str">
        <f>IF($F478="","",IF(NOT(ISNUMBER($G478)),"Hors champ",IF($H478="","À renseigner",IF($J478&lt;0,"Dépassée",IF($J478&lt;=30,"À planifier","À jour")))))</f>
        <v/>
      </c>
      <c r="L478" s="5"/>
      <c r="M478" s="5"/>
      <c r="N478" s="5"/>
    </row>
    <row r="479" spans="1:14" x14ac:dyDescent="0.25">
      <c r="A479" s="5"/>
      <c r="B479" s="5"/>
      <c r="C479" s="5"/>
      <c r="D479" s="5"/>
      <c r="E479" s="5"/>
      <c r="F479" s="5"/>
      <c r="G479" s="6" t="str">
        <f>IF($F479="","",IF(ISNA(VLOOKUP($F479,'Référentiel VGP'!$A$2:$B$33,2,FALSE)),"",VLOOKUP($F479,'Référentiel VGP'!$A$2:$B$33,2,FALSE)))</f>
        <v/>
      </c>
      <c r="H479" s="7"/>
      <c r="I479" s="8" t="str">
        <f>IF(OR($H479="",NOT(ISNUMBER($G479))),"",MIN(DATE(YEAR($H479),MONTH($H479)+$G479,DAY($H479)),DATE(YEAR($H479),MONTH($H479)+$G479+1,0)))</f>
        <v/>
      </c>
      <c r="J479" s="6" t="str">
        <f>IF($I479="","",$I479-TODAY())</f>
        <v/>
      </c>
      <c r="K479" s="9" t="str">
        <f>IF($F479="","",IF(NOT(ISNUMBER($G479)),"Hors champ",IF($H479="","À renseigner",IF($J479&lt;0,"Dépassée",IF($J479&lt;=30,"À planifier","À jour")))))</f>
        <v/>
      </c>
      <c r="L479" s="5"/>
      <c r="M479" s="5"/>
      <c r="N479" s="5"/>
    </row>
    <row r="480" spans="1:14" x14ac:dyDescent="0.25">
      <c r="A480" s="5"/>
      <c r="B480" s="5"/>
      <c r="C480" s="5"/>
      <c r="D480" s="5"/>
      <c r="E480" s="5"/>
      <c r="F480" s="5"/>
      <c r="G480" s="6" t="str">
        <f>IF($F480="","",IF(ISNA(VLOOKUP($F480,'Référentiel VGP'!$A$2:$B$33,2,FALSE)),"",VLOOKUP($F480,'Référentiel VGP'!$A$2:$B$33,2,FALSE)))</f>
        <v/>
      </c>
      <c r="H480" s="7"/>
      <c r="I480" s="8" t="str">
        <f>IF(OR($H480="",NOT(ISNUMBER($G480))),"",MIN(DATE(YEAR($H480),MONTH($H480)+$G480,DAY($H480)),DATE(YEAR($H480),MONTH($H480)+$G480+1,0)))</f>
        <v/>
      </c>
      <c r="J480" s="6" t="str">
        <f>IF($I480="","",$I480-TODAY())</f>
        <v/>
      </c>
      <c r="K480" s="9" t="str">
        <f>IF($F480="","",IF(NOT(ISNUMBER($G480)),"Hors champ",IF($H480="","À renseigner",IF($J480&lt;0,"Dépassée",IF($J480&lt;=30,"À planifier","À jour")))))</f>
        <v/>
      </c>
      <c r="L480" s="5"/>
      <c r="M480" s="5"/>
      <c r="N480" s="5"/>
    </row>
    <row r="481" spans="1:14" x14ac:dyDescent="0.25">
      <c r="A481" s="5"/>
      <c r="B481" s="5"/>
      <c r="C481" s="5"/>
      <c r="D481" s="5"/>
      <c r="E481" s="5"/>
      <c r="F481" s="5"/>
      <c r="G481" s="6" t="str">
        <f>IF($F481="","",IF(ISNA(VLOOKUP($F481,'Référentiel VGP'!$A$2:$B$33,2,FALSE)),"",VLOOKUP($F481,'Référentiel VGP'!$A$2:$B$33,2,FALSE)))</f>
        <v/>
      </c>
      <c r="H481" s="7"/>
      <c r="I481" s="8" t="str">
        <f>IF(OR($H481="",NOT(ISNUMBER($G481))),"",MIN(DATE(YEAR($H481),MONTH($H481)+$G481,DAY($H481)),DATE(YEAR($H481),MONTH($H481)+$G481+1,0)))</f>
        <v/>
      </c>
      <c r="J481" s="6" t="str">
        <f>IF($I481="","",$I481-TODAY())</f>
        <v/>
      </c>
      <c r="K481" s="9" t="str">
        <f>IF($F481="","",IF(NOT(ISNUMBER($G481)),"Hors champ",IF($H481="","À renseigner",IF($J481&lt;0,"Dépassée",IF($J481&lt;=30,"À planifier","À jour")))))</f>
        <v/>
      </c>
      <c r="L481" s="5"/>
      <c r="M481" s="5"/>
      <c r="N481" s="5"/>
    </row>
    <row r="482" spans="1:14" x14ac:dyDescent="0.25">
      <c r="A482" s="5"/>
      <c r="B482" s="5"/>
      <c r="C482" s="5"/>
      <c r="D482" s="5"/>
      <c r="E482" s="5"/>
      <c r="F482" s="5"/>
      <c r="G482" s="6" t="str">
        <f>IF($F482="","",IF(ISNA(VLOOKUP($F482,'Référentiel VGP'!$A$2:$B$33,2,FALSE)),"",VLOOKUP($F482,'Référentiel VGP'!$A$2:$B$33,2,FALSE)))</f>
        <v/>
      </c>
      <c r="H482" s="7"/>
      <c r="I482" s="8" t="str">
        <f>IF(OR($H482="",NOT(ISNUMBER($G482))),"",MIN(DATE(YEAR($H482),MONTH($H482)+$G482,DAY($H482)),DATE(YEAR($H482),MONTH($H482)+$G482+1,0)))</f>
        <v/>
      </c>
      <c r="J482" s="6" t="str">
        <f>IF($I482="","",$I482-TODAY())</f>
        <v/>
      </c>
      <c r="K482" s="9" t="str">
        <f>IF($F482="","",IF(NOT(ISNUMBER($G482)),"Hors champ",IF($H482="","À renseigner",IF($J482&lt;0,"Dépassée",IF($J482&lt;=30,"À planifier","À jour")))))</f>
        <v/>
      </c>
      <c r="L482" s="5"/>
      <c r="M482" s="5"/>
      <c r="N482" s="5"/>
    </row>
    <row r="483" spans="1:14" x14ac:dyDescent="0.25">
      <c r="A483" s="5"/>
      <c r="B483" s="5"/>
      <c r="C483" s="5"/>
      <c r="D483" s="5"/>
      <c r="E483" s="5"/>
      <c r="F483" s="5"/>
      <c r="G483" s="6" t="str">
        <f>IF($F483="","",IF(ISNA(VLOOKUP($F483,'Référentiel VGP'!$A$2:$B$33,2,FALSE)),"",VLOOKUP($F483,'Référentiel VGP'!$A$2:$B$33,2,FALSE)))</f>
        <v/>
      </c>
      <c r="H483" s="7"/>
      <c r="I483" s="8" t="str">
        <f>IF(OR($H483="",NOT(ISNUMBER($G483))),"",MIN(DATE(YEAR($H483),MONTH($H483)+$G483,DAY($H483)),DATE(YEAR($H483),MONTH($H483)+$G483+1,0)))</f>
        <v/>
      </c>
      <c r="J483" s="6" t="str">
        <f>IF($I483="","",$I483-TODAY())</f>
        <v/>
      </c>
      <c r="K483" s="9" t="str">
        <f>IF($F483="","",IF(NOT(ISNUMBER($G483)),"Hors champ",IF($H483="","À renseigner",IF($J483&lt;0,"Dépassée",IF($J483&lt;=30,"À planifier","À jour")))))</f>
        <v/>
      </c>
      <c r="L483" s="5"/>
      <c r="M483" s="5"/>
      <c r="N483" s="5"/>
    </row>
    <row r="484" spans="1:14" x14ac:dyDescent="0.25">
      <c r="A484" s="5"/>
      <c r="B484" s="5"/>
      <c r="C484" s="5"/>
      <c r="D484" s="5"/>
      <c r="E484" s="5"/>
      <c r="F484" s="5"/>
      <c r="G484" s="6" t="str">
        <f>IF($F484="","",IF(ISNA(VLOOKUP($F484,'Référentiel VGP'!$A$2:$B$33,2,FALSE)),"",VLOOKUP($F484,'Référentiel VGP'!$A$2:$B$33,2,FALSE)))</f>
        <v/>
      </c>
      <c r="H484" s="7"/>
      <c r="I484" s="8" t="str">
        <f>IF(OR($H484="",NOT(ISNUMBER($G484))),"",MIN(DATE(YEAR($H484),MONTH($H484)+$G484,DAY($H484)),DATE(YEAR($H484),MONTH($H484)+$G484+1,0)))</f>
        <v/>
      </c>
      <c r="J484" s="6" t="str">
        <f>IF($I484="","",$I484-TODAY())</f>
        <v/>
      </c>
      <c r="K484" s="9" t="str">
        <f>IF($F484="","",IF(NOT(ISNUMBER($G484)),"Hors champ",IF($H484="","À renseigner",IF($J484&lt;0,"Dépassée",IF($J484&lt;=30,"À planifier","À jour")))))</f>
        <v/>
      </c>
      <c r="L484" s="5"/>
      <c r="M484" s="5"/>
      <c r="N484" s="5"/>
    </row>
    <row r="485" spans="1:14" x14ac:dyDescent="0.25">
      <c r="A485" s="5"/>
      <c r="B485" s="5"/>
      <c r="C485" s="5"/>
      <c r="D485" s="5"/>
      <c r="E485" s="5"/>
      <c r="F485" s="5"/>
      <c r="G485" s="6" t="str">
        <f>IF($F485="","",IF(ISNA(VLOOKUP($F485,'Référentiel VGP'!$A$2:$B$33,2,FALSE)),"",VLOOKUP($F485,'Référentiel VGP'!$A$2:$B$33,2,FALSE)))</f>
        <v/>
      </c>
      <c r="H485" s="7"/>
      <c r="I485" s="8" t="str">
        <f>IF(OR($H485="",NOT(ISNUMBER($G485))),"",MIN(DATE(YEAR($H485),MONTH($H485)+$G485,DAY($H485)),DATE(YEAR($H485),MONTH($H485)+$G485+1,0)))</f>
        <v/>
      </c>
      <c r="J485" s="6" t="str">
        <f>IF($I485="","",$I485-TODAY())</f>
        <v/>
      </c>
      <c r="K485" s="9" t="str">
        <f>IF($F485="","",IF(NOT(ISNUMBER($G485)),"Hors champ",IF($H485="","À renseigner",IF($J485&lt;0,"Dépassée",IF($J485&lt;=30,"À planifier","À jour")))))</f>
        <v/>
      </c>
      <c r="L485" s="5"/>
      <c r="M485" s="5"/>
      <c r="N485" s="5"/>
    </row>
    <row r="486" spans="1:14" x14ac:dyDescent="0.25">
      <c r="A486" s="5"/>
      <c r="B486" s="5"/>
      <c r="C486" s="5"/>
      <c r="D486" s="5"/>
      <c r="E486" s="5"/>
      <c r="F486" s="5"/>
      <c r="G486" s="6" t="str">
        <f>IF($F486="","",IF(ISNA(VLOOKUP($F486,'Référentiel VGP'!$A$2:$B$33,2,FALSE)),"",VLOOKUP($F486,'Référentiel VGP'!$A$2:$B$33,2,FALSE)))</f>
        <v/>
      </c>
      <c r="H486" s="7"/>
      <c r="I486" s="8" t="str">
        <f>IF(OR($H486="",NOT(ISNUMBER($G486))),"",MIN(DATE(YEAR($H486),MONTH($H486)+$G486,DAY($H486)),DATE(YEAR($H486),MONTH($H486)+$G486+1,0)))</f>
        <v/>
      </c>
      <c r="J486" s="6" t="str">
        <f>IF($I486="","",$I486-TODAY())</f>
        <v/>
      </c>
      <c r="K486" s="9" t="str">
        <f>IF($F486="","",IF(NOT(ISNUMBER($G486)),"Hors champ",IF($H486="","À renseigner",IF($J486&lt;0,"Dépassée",IF($J486&lt;=30,"À planifier","À jour")))))</f>
        <v/>
      </c>
      <c r="L486" s="5"/>
      <c r="M486" s="5"/>
      <c r="N486" s="5"/>
    </row>
    <row r="487" spans="1:14" x14ac:dyDescent="0.25">
      <c r="A487" s="5"/>
      <c r="B487" s="5"/>
      <c r="C487" s="5"/>
      <c r="D487" s="5"/>
      <c r="E487" s="5"/>
      <c r="F487" s="5"/>
      <c r="G487" s="6" t="str">
        <f>IF($F487="","",IF(ISNA(VLOOKUP($F487,'Référentiel VGP'!$A$2:$B$33,2,FALSE)),"",VLOOKUP($F487,'Référentiel VGP'!$A$2:$B$33,2,FALSE)))</f>
        <v/>
      </c>
      <c r="H487" s="7"/>
      <c r="I487" s="8" t="str">
        <f>IF(OR($H487="",NOT(ISNUMBER($G487))),"",MIN(DATE(YEAR($H487),MONTH($H487)+$G487,DAY($H487)),DATE(YEAR($H487),MONTH($H487)+$G487+1,0)))</f>
        <v/>
      </c>
      <c r="J487" s="6" t="str">
        <f>IF($I487="","",$I487-TODAY())</f>
        <v/>
      </c>
      <c r="K487" s="9" t="str">
        <f>IF($F487="","",IF(NOT(ISNUMBER($G487)),"Hors champ",IF($H487="","À renseigner",IF($J487&lt;0,"Dépassée",IF($J487&lt;=30,"À planifier","À jour")))))</f>
        <v/>
      </c>
      <c r="L487" s="5"/>
      <c r="M487" s="5"/>
      <c r="N487" s="5"/>
    </row>
    <row r="488" spans="1:14" x14ac:dyDescent="0.25">
      <c r="A488" s="5"/>
      <c r="B488" s="5"/>
      <c r="C488" s="5"/>
      <c r="D488" s="5"/>
      <c r="E488" s="5"/>
      <c r="F488" s="5"/>
      <c r="G488" s="6" t="str">
        <f>IF($F488="","",IF(ISNA(VLOOKUP($F488,'Référentiel VGP'!$A$2:$B$33,2,FALSE)),"",VLOOKUP($F488,'Référentiel VGP'!$A$2:$B$33,2,FALSE)))</f>
        <v/>
      </c>
      <c r="H488" s="7"/>
      <c r="I488" s="8" t="str">
        <f>IF(OR($H488="",NOT(ISNUMBER($G488))),"",MIN(DATE(YEAR($H488),MONTH($H488)+$G488,DAY($H488)),DATE(YEAR($H488),MONTH($H488)+$G488+1,0)))</f>
        <v/>
      </c>
      <c r="J488" s="6" t="str">
        <f>IF($I488="","",$I488-TODAY())</f>
        <v/>
      </c>
      <c r="K488" s="9" t="str">
        <f>IF($F488="","",IF(NOT(ISNUMBER($G488)),"Hors champ",IF($H488="","À renseigner",IF($J488&lt;0,"Dépassée",IF($J488&lt;=30,"À planifier","À jour")))))</f>
        <v/>
      </c>
      <c r="L488" s="5"/>
      <c r="M488" s="5"/>
      <c r="N488" s="5"/>
    </row>
    <row r="489" spans="1:14" x14ac:dyDescent="0.25">
      <c r="A489" s="5"/>
      <c r="B489" s="5"/>
      <c r="C489" s="5"/>
      <c r="D489" s="5"/>
      <c r="E489" s="5"/>
      <c r="F489" s="5"/>
      <c r="G489" s="6" t="str">
        <f>IF($F489="","",IF(ISNA(VLOOKUP($F489,'Référentiel VGP'!$A$2:$B$33,2,FALSE)),"",VLOOKUP($F489,'Référentiel VGP'!$A$2:$B$33,2,FALSE)))</f>
        <v/>
      </c>
      <c r="H489" s="7"/>
      <c r="I489" s="8" t="str">
        <f>IF(OR($H489="",NOT(ISNUMBER($G489))),"",MIN(DATE(YEAR($H489),MONTH($H489)+$G489,DAY($H489)),DATE(YEAR($H489),MONTH($H489)+$G489+1,0)))</f>
        <v/>
      </c>
      <c r="J489" s="6" t="str">
        <f>IF($I489="","",$I489-TODAY())</f>
        <v/>
      </c>
      <c r="K489" s="9" t="str">
        <f>IF($F489="","",IF(NOT(ISNUMBER($G489)),"Hors champ",IF($H489="","À renseigner",IF($J489&lt;0,"Dépassée",IF($J489&lt;=30,"À planifier","À jour")))))</f>
        <v/>
      </c>
      <c r="L489" s="5"/>
      <c r="M489" s="5"/>
      <c r="N489" s="5"/>
    </row>
    <row r="490" spans="1:14" x14ac:dyDescent="0.25">
      <c r="A490" s="5"/>
      <c r="B490" s="5"/>
      <c r="C490" s="5"/>
      <c r="D490" s="5"/>
      <c r="E490" s="5"/>
      <c r="F490" s="5"/>
      <c r="G490" s="6" t="str">
        <f>IF($F490="","",IF(ISNA(VLOOKUP($F490,'Référentiel VGP'!$A$2:$B$33,2,FALSE)),"",VLOOKUP($F490,'Référentiel VGP'!$A$2:$B$33,2,FALSE)))</f>
        <v/>
      </c>
      <c r="H490" s="7"/>
      <c r="I490" s="8" t="str">
        <f>IF(OR($H490="",NOT(ISNUMBER($G490))),"",MIN(DATE(YEAR($H490),MONTH($H490)+$G490,DAY($H490)),DATE(YEAR($H490),MONTH($H490)+$G490+1,0)))</f>
        <v/>
      </c>
      <c r="J490" s="6" t="str">
        <f>IF($I490="","",$I490-TODAY())</f>
        <v/>
      </c>
      <c r="K490" s="9" t="str">
        <f>IF($F490="","",IF(NOT(ISNUMBER($G490)),"Hors champ",IF($H490="","À renseigner",IF($J490&lt;0,"Dépassée",IF($J490&lt;=30,"À planifier","À jour")))))</f>
        <v/>
      </c>
      <c r="L490" s="5"/>
      <c r="M490" s="5"/>
      <c r="N490" s="5"/>
    </row>
    <row r="491" spans="1:14" x14ac:dyDescent="0.25">
      <c r="A491" s="5"/>
      <c r="B491" s="5"/>
      <c r="C491" s="5"/>
      <c r="D491" s="5"/>
      <c r="E491" s="5"/>
      <c r="F491" s="5"/>
      <c r="G491" s="6" t="str">
        <f>IF($F491="","",IF(ISNA(VLOOKUP($F491,'Référentiel VGP'!$A$2:$B$33,2,FALSE)),"",VLOOKUP($F491,'Référentiel VGP'!$A$2:$B$33,2,FALSE)))</f>
        <v/>
      </c>
      <c r="H491" s="7"/>
      <c r="I491" s="8" t="str">
        <f>IF(OR($H491="",NOT(ISNUMBER($G491))),"",MIN(DATE(YEAR($H491),MONTH($H491)+$G491,DAY($H491)),DATE(YEAR($H491),MONTH($H491)+$G491+1,0)))</f>
        <v/>
      </c>
      <c r="J491" s="6" t="str">
        <f>IF($I491="","",$I491-TODAY())</f>
        <v/>
      </c>
      <c r="K491" s="9" t="str">
        <f>IF($F491="","",IF(NOT(ISNUMBER($G491)),"Hors champ",IF($H491="","À renseigner",IF($J491&lt;0,"Dépassée",IF($J491&lt;=30,"À planifier","À jour")))))</f>
        <v/>
      </c>
      <c r="L491" s="5"/>
      <c r="M491" s="5"/>
      <c r="N491" s="5"/>
    </row>
    <row r="492" spans="1:14" x14ac:dyDescent="0.25">
      <c r="A492" s="5"/>
      <c r="B492" s="5"/>
      <c r="C492" s="5"/>
      <c r="D492" s="5"/>
      <c r="E492" s="5"/>
      <c r="F492" s="5"/>
      <c r="G492" s="6" t="str">
        <f>IF($F492="","",IF(ISNA(VLOOKUP($F492,'Référentiel VGP'!$A$2:$B$33,2,FALSE)),"",VLOOKUP($F492,'Référentiel VGP'!$A$2:$B$33,2,FALSE)))</f>
        <v/>
      </c>
      <c r="H492" s="7"/>
      <c r="I492" s="8" t="str">
        <f>IF(OR($H492="",NOT(ISNUMBER($G492))),"",MIN(DATE(YEAR($H492),MONTH($H492)+$G492,DAY($H492)),DATE(YEAR($H492),MONTH($H492)+$G492+1,0)))</f>
        <v/>
      </c>
      <c r="J492" s="6" t="str">
        <f>IF($I492="","",$I492-TODAY())</f>
        <v/>
      </c>
      <c r="K492" s="9" t="str">
        <f>IF($F492="","",IF(NOT(ISNUMBER($G492)),"Hors champ",IF($H492="","À renseigner",IF($J492&lt;0,"Dépassée",IF($J492&lt;=30,"À planifier","À jour")))))</f>
        <v/>
      </c>
      <c r="L492" s="5"/>
      <c r="M492" s="5"/>
      <c r="N492" s="5"/>
    </row>
    <row r="493" spans="1:14" x14ac:dyDescent="0.25">
      <c r="A493" s="5"/>
      <c r="B493" s="5"/>
      <c r="C493" s="5"/>
      <c r="D493" s="5"/>
      <c r="E493" s="5"/>
      <c r="F493" s="5"/>
      <c r="G493" s="6" t="str">
        <f>IF($F493="","",IF(ISNA(VLOOKUP($F493,'Référentiel VGP'!$A$2:$B$33,2,FALSE)),"",VLOOKUP($F493,'Référentiel VGP'!$A$2:$B$33,2,FALSE)))</f>
        <v/>
      </c>
      <c r="H493" s="7"/>
      <c r="I493" s="8" t="str">
        <f>IF(OR($H493="",NOT(ISNUMBER($G493))),"",MIN(DATE(YEAR($H493),MONTH($H493)+$G493,DAY($H493)),DATE(YEAR($H493),MONTH($H493)+$G493+1,0)))</f>
        <v/>
      </c>
      <c r="J493" s="6" t="str">
        <f>IF($I493="","",$I493-TODAY())</f>
        <v/>
      </c>
      <c r="K493" s="9" t="str">
        <f>IF($F493="","",IF(NOT(ISNUMBER($G493)),"Hors champ",IF($H493="","À renseigner",IF($J493&lt;0,"Dépassée",IF($J493&lt;=30,"À planifier","À jour")))))</f>
        <v/>
      </c>
      <c r="L493" s="5"/>
      <c r="M493" s="5"/>
      <c r="N493" s="5"/>
    </row>
    <row r="494" spans="1:14" x14ac:dyDescent="0.25">
      <c r="A494" s="5"/>
      <c r="B494" s="5"/>
      <c r="C494" s="5"/>
      <c r="D494" s="5"/>
      <c r="E494" s="5"/>
      <c r="F494" s="5"/>
      <c r="G494" s="6" t="str">
        <f>IF($F494="","",IF(ISNA(VLOOKUP($F494,'Référentiel VGP'!$A$2:$B$33,2,FALSE)),"",VLOOKUP($F494,'Référentiel VGP'!$A$2:$B$33,2,FALSE)))</f>
        <v/>
      </c>
      <c r="H494" s="7"/>
      <c r="I494" s="8" t="str">
        <f>IF(OR($H494="",NOT(ISNUMBER($G494))),"",MIN(DATE(YEAR($H494),MONTH($H494)+$G494,DAY($H494)),DATE(YEAR($H494),MONTH($H494)+$G494+1,0)))</f>
        <v/>
      </c>
      <c r="J494" s="6" t="str">
        <f>IF($I494="","",$I494-TODAY())</f>
        <v/>
      </c>
      <c r="K494" s="9" t="str">
        <f>IF($F494="","",IF(NOT(ISNUMBER($G494)),"Hors champ",IF($H494="","À renseigner",IF($J494&lt;0,"Dépassée",IF($J494&lt;=30,"À planifier","À jour")))))</f>
        <v/>
      </c>
      <c r="L494" s="5"/>
      <c r="M494" s="5"/>
      <c r="N494" s="5"/>
    </row>
    <row r="495" spans="1:14" x14ac:dyDescent="0.25">
      <c r="A495" s="5"/>
      <c r="B495" s="5"/>
      <c r="C495" s="5"/>
      <c r="D495" s="5"/>
      <c r="E495" s="5"/>
      <c r="F495" s="5"/>
      <c r="G495" s="6" t="str">
        <f>IF($F495="","",IF(ISNA(VLOOKUP($F495,'Référentiel VGP'!$A$2:$B$33,2,FALSE)),"",VLOOKUP($F495,'Référentiel VGP'!$A$2:$B$33,2,FALSE)))</f>
        <v/>
      </c>
      <c r="H495" s="7"/>
      <c r="I495" s="8" t="str">
        <f>IF(OR($H495="",NOT(ISNUMBER($G495))),"",MIN(DATE(YEAR($H495),MONTH($H495)+$G495,DAY($H495)),DATE(YEAR($H495),MONTH($H495)+$G495+1,0)))</f>
        <v/>
      </c>
      <c r="J495" s="6" t="str">
        <f>IF($I495="","",$I495-TODAY())</f>
        <v/>
      </c>
      <c r="K495" s="9" t="str">
        <f>IF($F495="","",IF(NOT(ISNUMBER($G495)),"Hors champ",IF($H495="","À renseigner",IF($J495&lt;0,"Dépassée",IF($J495&lt;=30,"À planifier","À jour")))))</f>
        <v/>
      </c>
      <c r="L495" s="5"/>
      <c r="M495" s="5"/>
      <c r="N495" s="5"/>
    </row>
    <row r="496" spans="1:14" x14ac:dyDescent="0.25">
      <c r="A496" s="5"/>
      <c r="B496" s="5"/>
      <c r="C496" s="5"/>
      <c r="D496" s="5"/>
      <c r="E496" s="5"/>
      <c r="F496" s="5"/>
      <c r="G496" s="6" t="str">
        <f>IF($F496="","",IF(ISNA(VLOOKUP($F496,'Référentiel VGP'!$A$2:$B$33,2,FALSE)),"",VLOOKUP($F496,'Référentiel VGP'!$A$2:$B$33,2,FALSE)))</f>
        <v/>
      </c>
      <c r="H496" s="7"/>
      <c r="I496" s="8" t="str">
        <f>IF(OR($H496="",NOT(ISNUMBER($G496))),"",MIN(DATE(YEAR($H496),MONTH($H496)+$G496,DAY($H496)),DATE(YEAR($H496),MONTH($H496)+$G496+1,0)))</f>
        <v/>
      </c>
      <c r="J496" s="6" t="str">
        <f>IF($I496="","",$I496-TODAY())</f>
        <v/>
      </c>
      <c r="K496" s="9" t="str">
        <f>IF($F496="","",IF(NOT(ISNUMBER($G496)),"Hors champ",IF($H496="","À renseigner",IF($J496&lt;0,"Dépassée",IF($J496&lt;=30,"À planifier","À jour")))))</f>
        <v/>
      </c>
      <c r="L496" s="5"/>
      <c r="M496" s="5"/>
      <c r="N496" s="5"/>
    </row>
    <row r="497" spans="1:14" x14ac:dyDescent="0.25">
      <c r="A497" s="5"/>
      <c r="B497" s="5"/>
      <c r="C497" s="5"/>
      <c r="D497" s="5"/>
      <c r="E497" s="5"/>
      <c r="F497" s="5"/>
      <c r="G497" s="6" t="str">
        <f>IF($F497="","",IF(ISNA(VLOOKUP($F497,'Référentiel VGP'!$A$2:$B$33,2,FALSE)),"",VLOOKUP($F497,'Référentiel VGP'!$A$2:$B$33,2,FALSE)))</f>
        <v/>
      </c>
      <c r="H497" s="7"/>
      <c r="I497" s="8" t="str">
        <f>IF(OR($H497="",NOT(ISNUMBER($G497))),"",MIN(DATE(YEAR($H497),MONTH($H497)+$G497,DAY($H497)),DATE(YEAR($H497),MONTH($H497)+$G497+1,0)))</f>
        <v/>
      </c>
      <c r="J497" s="6" t="str">
        <f>IF($I497="","",$I497-TODAY())</f>
        <v/>
      </c>
      <c r="K497" s="9" t="str">
        <f>IF($F497="","",IF(NOT(ISNUMBER($G497)),"Hors champ",IF($H497="","À renseigner",IF($J497&lt;0,"Dépassée",IF($J497&lt;=30,"À planifier","À jour")))))</f>
        <v/>
      </c>
      <c r="L497" s="5"/>
      <c r="M497" s="5"/>
      <c r="N497" s="5"/>
    </row>
    <row r="498" spans="1:14" x14ac:dyDescent="0.25">
      <c r="A498" s="5"/>
      <c r="B498" s="5"/>
      <c r="C498" s="5"/>
      <c r="D498" s="5"/>
      <c r="E498" s="5"/>
      <c r="F498" s="5"/>
      <c r="G498" s="6" t="str">
        <f>IF($F498="","",IF(ISNA(VLOOKUP($F498,'Référentiel VGP'!$A$2:$B$33,2,FALSE)),"",VLOOKUP($F498,'Référentiel VGP'!$A$2:$B$33,2,FALSE)))</f>
        <v/>
      </c>
      <c r="H498" s="7"/>
      <c r="I498" s="8" t="str">
        <f>IF(OR($H498="",NOT(ISNUMBER($G498))),"",MIN(DATE(YEAR($H498),MONTH($H498)+$G498,DAY($H498)),DATE(YEAR($H498),MONTH($H498)+$G498+1,0)))</f>
        <v/>
      </c>
      <c r="J498" s="6" t="str">
        <f>IF($I498="","",$I498-TODAY())</f>
        <v/>
      </c>
      <c r="K498" s="9" t="str">
        <f>IF($F498="","",IF(NOT(ISNUMBER($G498)),"Hors champ",IF($H498="","À renseigner",IF($J498&lt;0,"Dépassée",IF($J498&lt;=30,"À planifier","À jour")))))</f>
        <v/>
      </c>
      <c r="L498" s="5"/>
      <c r="M498" s="5"/>
      <c r="N498" s="5"/>
    </row>
    <row r="499" spans="1:14" x14ac:dyDescent="0.25">
      <c r="A499" s="5"/>
      <c r="B499" s="5"/>
      <c r="C499" s="5"/>
      <c r="D499" s="5"/>
      <c r="E499" s="5"/>
      <c r="F499" s="5"/>
      <c r="G499" s="6" t="str">
        <f>IF($F499="","",IF(ISNA(VLOOKUP($F499,'Référentiel VGP'!$A$2:$B$33,2,FALSE)),"",VLOOKUP($F499,'Référentiel VGP'!$A$2:$B$33,2,FALSE)))</f>
        <v/>
      </c>
      <c r="H499" s="7"/>
      <c r="I499" s="8" t="str">
        <f>IF(OR($H499="",NOT(ISNUMBER($G499))),"",MIN(DATE(YEAR($H499),MONTH($H499)+$G499,DAY($H499)),DATE(YEAR($H499),MONTH($H499)+$G499+1,0)))</f>
        <v/>
      </c>
      <c r="J499" s="6" t="str">
        <f>IF($I499="","",$I499-TODAY())</f>
        <v/>
      </c>
      <c r="K499" s="9" t="str">
        <f>IF($F499="","",IF(NOT(ISNUMBER($G499)),"Hors champ",IF($H499="","À renseigner",IF($J499&lt;0,"Dépassée",IF($J499&lt;=30,"À planifier","À jour")))))</f>
        <v/>
      </c>
      <c r="L499" s="5"/>
      <c r="M499" s="5"/>
      <c r="N499" s="5"/>
    </row>
    <row r="500" spans="1:14" x14ac:dyDescent="0.25">
      <c r="A500" s="5"/>
      <c r="B500" s="5"/>
      <c r="C500" s="5"/>
      <c r="D500" s="5"/>
      <c r="E500" s="5"/>
      <c r="F500" s="5"/>
      <c r="G500" s="6" t="str">
        <f>IF($F500="","",IF(ISNA(VLOOKUP($F500,'Référentiel VGP'!$A$2:$B$33,2,FALSE)),"",VLOOKUP($F500,'Référentiel VGP'!$A$2:$B$33,2,FALSE)))</f>
        <v/>
      </c>
      <c r="H500" s="7"/>
      <c r="I500" s="8" t="str">
        <f>IF(OR($H500="",NOT(ISNUMBER($G500))),"",MIN(DATE(YEAR($H500),MONTH($H500)+$G500,DAY($H500)),DATE(YEAR($H500),MONTH($H500)+$G500+1,0)))</f>
        <v/>
      </c>
      <c r="J500" s="6" t="str">
        <f>IF($I500="","",$I500-TODAY())</f>
        <v/>
      </c>
      <c r="K500" s="9" t="str">
        <f>IF($F500="","",IF(NOT(ISNUMBER($G500)),"Hors champ",IF($H500="","À renseigner",IF($J500&lt;0,"Dépassée",IF($J500&lt;=30,"À planifier","À jour")))))</f>
        <v/>
      </c>
      <c r="L500" s="5"/>
      <c r="M500" s="5"/>
      <c r="N500" s="5"/>
    </row>
  </sheetData>
  <autoFilter ref="A1:N500"/>
  <conditionalFormatting sqref="A2:N500">
    <cfRule type="expression" dxfId="0" priority="1">
      <formula>$K2="Dépassée"</formula>
    </cfRule>
    <cfRule type="expression" dxfId="1" priority="2">
      <formula>$K2="À planifier"</formula>
    </cfRule>
    <cfRule type="expression" dxfId="2" priority="3">
      <formula>$K2="À jour"</formula>
    </cfRule>
    <cfRule type="expression" dxfId="3" priority="4">
      <formula>OR($K2="Hors champ",$K2="À renseigner")</formula>
    </cfRule>
  </conditionalFormatting>
  <dataValidations count="4">
    <dataValidation type="list" allowBlank="1" showErrorMessage="1" errorTitle="Type non reconnu" error="Choisissez un type dans la liste. La périodicité en dépend. Utilisez « Autre (à qualifier) » si l'équipement n'y figure pas." sqref="F10:F500">
      <formula1>'Référentiel VGP'!$A$2:$A$33</formula1>
    </dataValidation>
    <dataValidation type="list" allowBlank="1" showErrorMessage="1" errorTitle="Type non reconnu" error="Choisissez un type dans la liste. La périodicité en dépend. Utilisez « Autre (à qualifier) » si l'équipement n'y figure pas." sqref="F2:F500">
      <formula1>'Référentiel VGP'!$A$2:$A$33</formula1>
    </dataValidation>
    <dataValidation type="list" allowBlank="1" sqref="L10:L500">
      <formula1>"Loueur,Locataire,Interne"</formula1>
    </dataValidation>
    <dataValidation type="list" allowBlank="1" sqref="L2:L500">
      <formula1>"Loueur,Locataire,Interne"</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A1:F33"/>
  <sheetViews>
    <sheetView workbookViewId="0">
      <pane ySplit="1" topLeftCell="A2" activePane="bottomLeft" state="frozen"/>
      <selection pane="bottomLeft"/>
    </sheetView>
  </sheetViews>
  <sheetFormatPr defaultRowHeight="15" outlineLevelRow="0" outlineLevelCol="0" x14ac:dyDescent="55"/>
  <cols>
    <col min="1" max="1" width="58" customWidth="1"/>
    <col min="2" max="2" width="18" customWidth="1"/>
    <col min="3" max="3" width="44" customWidth="1"/>
    <col min="4" max="4" width="38" customWidth="1"/>
    <col min="5" max="5" width="66" customWidth="1"/>
    <col min="6" max="6" width="52" customWidth="1"/>
  </cols>
  <sheetData>
    <row r="1" ht="34" customHeight="1" spans="1:6" x14ac:dyDescent="0.25">
      <c r="A1" s="4" t="s">
        <v>140</v>
      </c>
      <c r="B1" s="4" t="s">
        <v>34</v>
      </c>
      <c r="C1" s="4" t="s">
        <v>141</v>
      </c>
      <c r="D1" s="4" t="s">
        <v>142</v>
      </c>
      <c r="E1" s="4" t="s">
        <v>143</v>
      </c>
      <c r="F1" s="4" t="s">
        <v>144</v>
      </c>
    </row>
    <row r="2" ht="20" customHeight="1" spans="1:6" x14ac:dyDescent="0.25">
      <c r="A2" s="2" t="s">
        <v>110</v>
      </c>
      <c r="B2" s="10">
        <v>6</v>
      </c>
      <c r="C2" s="11" t="s">
        <v>145</v>
      </c>
      <c r="D2" s="2" t="s">
        <v>146</v>
      </c>
      <c r="E2" s="2" t="s">
        <v>55</v>
      </c>
      <c r="F2" s="12" t="s">
        <v>147</v>
      </c>
    </row>
    <row r="3" ht="34" customHeight="1" spans="1:5" x14ac:dyDescent="0.25">
      <c r="A3" s="2" t="s">
        <v>148</v>
      </c>
      <c r="B3" s="10">
        <v>6</v>
      </c>
      <c r="C3" s="11" t="s">
        <v>145</v>
      </c>
      <c r="D3" s="2" t="s">
        <v>146</v>
      </c>
      <c r="E3" s="2" t="s">
        <v>149</v>
      </c>
    </row>
    <row r="4" ht="20" customHeight="1" spans="1:5" x14ac:dyDescent="0.25">
      <c r="A4" s="2" t="s">
        <v>150</v>
      </c>
      <c r="B4" s="10">
        <v>6</v>
      </c>
      <c r="C4" s="11" t="s">
        <v>145</v>
      </c>
      <c r="D4" s="2" t="s">
        <v>146</v>
      </c>
      <c r="E4" s="2" t="s">
        <v>55</v>
      </c>
    </row>
    <row r="5" ht="20" customHeight="1" spans="1:6" x14ac:dyDescent="0.25">
      <c r="A5" s="2" t="s">
        <v>115</v>
      </c>
      <c r="B5" s="10">
        <v>6</v>
      </c>
      <c r="C5" s="11" t="s">
        <v>145</v>
      </c>
      <c r="D5" s="2" t="s">
        <v>146</v>
      </c>
      <c r="E5" s="2" t="s">
        <v>55</v>
      </c>
      <c r="F5" s="12" t="s">
        <v>151</v>
      </c>
    </row>
    <row r="6" ht="20" customHeight="1" spans="1:5" x14ac:dyDescent="0.25">
      <c r="A6" s="2" t="s">
        <v>152</v>
      </c>
      <c r="B6" s="10">
        <v>6</v>
      </c>
      <c r="C6" s="11" t="s">
        <v>145</v>
      </c>
      <c r="D6" s="2" t="s">
        <v>146</v>
      </c>
      <c r="E6" s="2" t="s">
        <v>55</v>
      </c>
    </row>
    <row r="7" ht="20" customHeight="1" spans="1:5" x14ac:dyDescent="0.25">
      <c r="A7" s="2" t="s">
        <v>120</v>
      </c>
      <c r="B7" s="10">
        <v>6</v>
      </c>
      <c r="C7" s="11" t="s">
        <v>145</v>
      </c>
      <c r="D7" s="2" t="s">
        <v>146</v>
      </c>
      <c r="E7" s="2" t="s">
        <v>55</v>
      </c>
    </row>
    <row r="8" ht="34" customHeight="1" spans="1:6" x14ac:dyDescent="0.25">
      <c r="A8" s="2" t="s">
        <v>90</v>
      </c>
      <c r="B8" s="10">
        <v>6</v>
      </c>
      <c r="C8" s="11" t="s">
        <v>145</v>
      </c>
      <c r="D8" s="2" t="s">
        <v>146</v>
      </c>
      <c r="E8" s="2" t="s">
        <v>153</v>
      </c>
      <c r="F8" s="12" t="s">
        <v>154</v>
      </c>
    </row>
    <row r="9" ht="34" customHeight="1" spans="1:5" x14ac:dyDescent="0.25">
      <c r="A9" s="2" t="s">
        <v>155</v>
      </c>
      <c r="B9" s="10">
        <v>6</v>
      </c>
      <c r="C9" s="11" t="s">
        <v>145</v>
      </c>
      <c r="D9" s="2" t="s">
        <v>146</v>
      </c>
      <c r="E9" s="2" t="s">
        <v>156</v>
      </c>
    </row>
    <row r="10" ht="20" customHeight="1" spans="1:6" x14ac:dyDescent="0.25">
      <c r="A10" s="2" t="s">
        <v>67</v>
      </c>
      <c r="B10" s="10">
        <v>6</v>
      </c>
      <c r="C10" s="11" t="s">
        <v>145</v>
      </c>
      <c r="D10" s="2" t="s">
        <v>146</v>
      </c>
      <c r="E10" s="2" t="s">
        <v>55</v>
      </c>
      <c r="F10" s="12" t="s">
        <v>157</v>
      </c>
    </row>
    <row r="11" ht="20" customHeight="1" spans="1:5" x14ac:dyDescent="0.25">
      <c r="A11" s="2" t="s">
        <v>158</v>
      </c>
      <c r="B11" s="10">
        <v>6</v>
      </c>
      <c r="C11" s="11" t="s">
        <v>145</v>
      </c>
      <c r="D11" s="2" t="s">
        <v>146</v>
      </c>
      <c r="E11" s="2" t="s">
        <v>55</v>
      </c>
    </row>
    <row r="12" ht="20" customHeight="1" spans="1:6" x14ac:dyDescent="0.25">
      <c r="A12" s="2" t="s">
        <v>47</v>
      </c>
      <c r="B12" s="10">
        <v>6</v>
      </c>
      <c r="C12" s="11" t="s">
        <v>145</v>
      </c>
      <c r="D12" s="2" t="s">
        <v>146</v>
      </c>
      <c r="E12" s="2" t="s">
        <v>55</v>
      </c>
      <c r="F12" s="12" t="s">
        <v>159</v>
      </c>
    </row>
    <row r="13" ht="20" customHeight="1" spans="1:6" x14ac:dyDescent="0.25">
      <c r="A13" s="2" t="s">
        <v>125</v>
      </c>
      <c r="B13" s="10">
        <v>12</v>
      </c>
      <c r="C13" s="11" t="s">
        <v>145</v>
      </c>
      <c r="D13" s="2" t="s">
        <v>160</v>
      </c>
      <c r="E13" s="2" t="s">
        <v>55</v>
      </c>
      <c r="F13" s="12" t="s">
        <v>161</v>
      </c>
    </row>
    <row r="14" ht="48" customHeight="1" spans="1:5" x14ac:dyDescent="0.25">
      <c r="A14" s="2" t="s">
        <v>162</v>
      </c>
      <c r="B14" s="10">
        <v>12</v>
      </c>
      <c r="C14" s="11" t="s">
        <v>145</v>
      </c>
      <c r="D14" s="2" t="s">
        <v>160</v>
      </c>
      <c r="E14" s="2" t="s">
        <v>163</v>
      </c>
    </row>
    <row r="15" ht="34" customHeight="1" spans="1:6" x14ac:dyDescent="0.25">
      <c r="A15" s="2" t="s">
        <v>84</v>
      </c>
      <c r="B15" s="10">
        <v>12</v>
      </c>
      <c r="C15" s="11" t="s">
        <v>164</v>
      </c>
      <c r="D15" s="2" t="s">
        <v>165</v>
      </c>
      <c r="E15" s="2" t="s">
        <v>166</v>
      </c>
      <c r="F15" s="12" t="s">
        <v>167</v>
      </c>
    </row>
    <row r="16" ht="34" customHeight="1" spans="1:5" x14ac:dyDescent="0.25">
      <c r="A16" s="2" t="s">
        <v>105</v>
      </c>
      <c r="B16" s="10">
        <v>12</v>
      </c>
      <c r="C16" s="11" t="s">
        <v>164</v>
      </c>
      <c r="D16" s="2" t="s">
        <v>165</v>
      </c>
      <c r="E16" s="2" t="s">
        <v>168</v>
      </c>
    </row>
    <row r="17" ht="20" customHeight="1" spans="1:5" x14ac:dyDescent="0.25">
      <c r="A17" s="2" t="s">
        <v>169</v>
      </c>
      <c r="B17" s="10">
        <v>12</v>
      </c>
      <c r="C17" s="11" t="s">
        <v>164</v>
      </c>
      <c r="D17" s="2" t="s">
        <v>165</v>
      </c>
      <c r="E17" s="2" t="s">
        <v>55</v>
      </c>
    </row>
    <row r="18" ht="20" customHeight="1" spans="1:6" x14ac:dyDescent="0.25">
      <c r="A18" s="2" t="s">
        <v>170</v>
      </c>
      <c r="B18" s="10">
        <v>12</v>
      </c>
      <c r="C18" s="11" t="s">
        <v>164</v>
      </c>
      <c r="D18" s="2" t="s">
        <v>165</v>
      </c>
      <c r="E18" s="2" t="s">
        <v>55</v>
      </c>
      <c r="F18" s="12" t="s">
        <v>171</v>
      </c>
    </row>
    <row r="19" ht="48" customHeight="1" spans="1:6" x14ac:dyDescent="0.25">
      <c r="A19" s="2" t="s">
        <v>127</v>
      </c>
      <c r="B19" s="10">
        <v>3</v>
      </c>
      <c r="C19" s="11" t="s">
        <v>172</v>
      </c>
      <c r="D19" s="2" t="s">
        <v>173</v>
      </c>
      <c r="E19" s="2" t="s">
        <v>174</v>
      </c>
      <c r="F19" s="12" t="s">
        <v>175</v>
      </c>
    </row>
    <row r="20" ht="48" customHeight="1" spans="1:5" x14ac:dyDescent="0.25">
      <c r="A20" s="2" t="s">
        <v>176</v>
      </c>
      <c r="B20" s="10">
        <v>3</v>
      </c>
      <c r="C20" s="11" t="s">
        <v>172</v>
      </c>
      <c r="D20" s="2" t="s">
        <v>173</v>
      </c>
      <c r="E20" s="2" t="s">
        <v>174</v>
      </c>
    </row>
    <row r="21" ht="48" customHeight="1" spans="1:5" x14ac:dyDescent="0.25">
      <c r="A21" s="2" t="s">
        <v>177</v>
      </c>
      <c r="B21" s="10">
        <v>3</v>
      </c>
      <c r="C21" s="11" t="s">
        <v>172</v>
      </c>
      <c r="D21" s="2" t="s">
        <v>173</v>
      </c>
      <c r="E21" s="2" t="s">
        <v>174</v>
      </c>
    </row>
    <row r="22" ht="48" customHeight="1" spans="1:5" x14ac:dyDescent="0.25">
      <c r="A22" s="2" t="s">
        <v>178</v>
      </c>
      <c r="B22" s="10">
        <v>3</v>
      </c>
      <c r="C22" s="11" t="s">
        <v>172</v>
      </c>
      <c r="D22" s="2" t="s">
        <v>173</v>
      </c>
      <c r="E22" s="2" t="s">
        <v>174</v>
      </c>
    </row>
    <row r="23" ht="48" customHeight="1" spans="1:5" x14ac:dyDescent="0.25">
      <c r="A23" s="2" t="s">
        <v>179</v>
      </c>
      <c r="B23" s="10">
        <v>3</v>
      </c>
      <c r="C23" s="11" t="s">
        <v>172</v>
      </c>
      <c r="D23" s="2" t="s">
        <v>173</v>
      </c>
      <c r="E23" s="2" t="s">
        <v>174</v>
      </c>
    </row>
    <row r="24" ht="48" customHeight="1" spans="1:5" x14ac:dyDescent="0.25">
      <c r="A24" s="2" t="s">
        <v>180</v>
      </c>
      <c r="B24" s="10">
        <v>3</v>
      </c>
      <c r="C24" s="11" t="s">
        <v>172</v>
      </c>
      <c r="D24" s="2" t="s">
        <v>173</v>
      </c>
      <c r="E24" s="2" t="s">
        <v>174</v>
      </c>
    </row>
    <row r="25" ht="48" customHeight="1" spans="1:5" x14ac:dyDescent="0.25">
      <c r="A25" s="2" t="s">
        <v>181</v>
      </c>
      <c r="B25" s="10">
        <v>3</v>
      </c>
      <c r="C25" s="11" t="s">
        <v>172</v>
      </c>
      <c r="D25" s="2" t="s">
        <v>173</v>
      </c>
      <c r="E25" s="2" t="s">
        <v>174</v>
      </c>
    </row>
    <row r="26" ht="48" customHeight="1" spans="1:5" x14ac:dyDescent="0.25">
      <c r="A26" s="2" t="s">
        <v>182</v>
      </c>
      <c r="B26" s="10">
        <v>3</v>
      </c>
      <c r="C26" s="11" t="s">
        <v>172</v>
      </c>
      <c r="D26" s="2" t="s">
        <v>173</v>
      </c>
      <c r="E26" s="2" t="s">
        <v>174</v>
      </c>
    </row>
    <row r="27" ht="48" customHeight="1" spans="1:5" x14ac:dyDescent="0.25">
      <c r="A27" s="2" t="s">
        <v>183</v>
      </c>
      <c r="B27" s="10">
        <v>3</v>
      </c>
      <c r="C27" s="11" t="s">
        <v>172</v>
      </c>
      <c r="D27" s="2" t="s">
        <v>173</v>
      </c>
      <c r="E27" s="2" t="s">
        <v>184</v>
      </c>
    </row>
    <row r="28" ht="48" customHeight="1" spans="1:5" x14ac:dyDescent="0.25">
      <c r="A28" s="2" t="s">
        <v>185</v>
      </c>
      <c r="B28" s="10">
        <v>3</v>
      </c>
      <c r="C28" s="11" t="s">
        <v>172</v>
      </c>
      <c r="D28" s="2" t="s">
        <v>173</v>
      </c>
      <c r="E28" s="2" t="s">
        <v>174</v>
      </c>
    </row>
    <row r="29" ht="48" customHeight="1" spans="1:5" x14ac:dyDescent="0.25">
      <c r="A29" s="2" t="s">
        <v>186</v>
      </c>
      <c r="B29" s="10">
        <v>3</v>
      </c>
      <c r="C29" s="11" t="s">
        <v>172</v>
      </c>
      <c r="D29" s="2" t="s">
        <v>173</v>
      </c>
      <c r="E29" s="2" t="s">
        <v>174</v>
      </c>
    </row>
    <row r="30" ht="34" customHeight="1" spans="1:5" x14ac:dyDescent="0.25">
      <c r="A30" s="2" t="s">
        <v>187</v>
      </c>
      <c r="B30" s="10">
        <v>12</v>
      </c>
      <c r="C30" s="11" t="s">
        <v>172</v>
      </c>
      <c r="D30" s="2" t="s">
        <v>165</v>
      </c>
      <c r="E30" s="2" t="s">
        <v>188</v>
      </c>
    </row>
    <row r="31" ht="34" customHeight="1" spans="1:5" x14ac:dyDescent="0.25">
      <c r="A31" s="2" t="s">
        <v>132</v>
      </c>
      <c r="B31" s="13" t="s">
        <v>189</v>
      </c>
      <c r="C31" s="11" t="s">
        <v>190</v>
      </c>
      <c r="D31" s="2" t="s">
        <v>191</v>
      </c>
      <c r="E31" s="2" t="s">
        <v>192</v>
      </c>
    </row>
    <row r="32" ht="34" customHeight="1" spans="1:5" x14ac:dyDescent="0.25">
      <c r="A32" s="2" t="s">
        <v>137</v>
      </c>
      <c r="B32" s="13" t="s">
        <v>189</v>
      </c>
      <c r="C32" s="11" t="s">
        <v>190</v>
      </c>
      <c r="D32" s="2" t="s">
        <v>193</v>
      </c>
      <c r="E32" s="2" t="s">
        <v>192</v>
      </c>
    </row>
    <row r="33" ht="20" customHeight="1" spans="1:5" x14ac:dyDescent="0.25">
      <c r="A33" s="2" t="s">
        <v>194</v>
      </c>
      <c r="B33" s="13" t="s">
        <v>189</v>
      </c>
      <c r="C33" s="11" t="s">
        <v>190</v>
      </c>
      <c r="D33" s="2" t="s">
        <v>195</v>
      </c>
      <c r="E33" s="2" t="s">
        <v>196</v>
      </c>
    </row>
  </sheetData>
  <autoFilter ref="A1:F33"/>
  <hyperlinks>
    <hyperlink ref="F2" r:id="rId1"/>
    <hyperlink ref="F5" r:id="rId2"/>
    <hyperlink ref="F8" r:id="rId3"/>
    <hyperlink ref="F10" r:id="rId4"/>
    <hyperlink ref="F12" r:id="rId5"/>
    <hyperlink ref="F13" r:id="rId6"/>
    <hyperlink ref="F15" r:id="rId7"/>
    <hyperlink ref="F18" r:id="rId8"/>
    <hyperlink ref="F19" r:id="rId9"/>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730"/>
  </sheetPr>
  <dimension ref="A1:B24"/>
  <sheetFormatPr defaultRowHeight="15" outlineLevelRow="0" outlineLevelCol="0" x14ac:dyDescent="55"/>
  <cols>
    <col min="1" max="1" width="30" customWidth="1"/>
    <col min="2" max="2" width="118" customWidth="1"/>
  </cols>
  <sheetData>
    <row r="1" ht="18" customHeight="1" spans="1:2" x14ac:dyDescent="0.25">
      <c r="A1" s="14" t="s">
        <v>197</v>
      </c>
      <c r="B1" s="2" t="s">
        <v>198</v>
      </c>
    </row>
    <row r="2" ht="18" customHeight="1" spans="1:2" x14ac:dyDescent="0.25">
      <c r="A2" s="14" t="s">
        <v>55</v>
      </c>
      <c r="B2" s="2" t="s">
        <v>55</v>
      </c>
    </row>
    <row r="3" ht="18" customHeight="1" spans="1:2" x14ac:dyDescent="0.25">
      <c r="A3" s="14" t="s">
        <v>199</v>
      </c>
      <c r="B3" s="15" t="s">
        <v>200</v>
      </c>
    </row>
    <row r="4" ht="18" customHeight="1" spans="1:2" x14ac:dyDescent="0.25">
      <c r="A4" s="14" t="s">
        <v>201</v>
      </c>
      <c r="B4" s="2" t="s">
        <v>202</v>
      </c>
    </row>
    <row r="5" ht="32" customHeight="1" spans="1:2" x14ac:dyDescent="0.25">
      <c r="A5" s="14" t="s">
        <v>203</v>
      </c>
      <c r="B5" s="2" t="s">
        <v>204</v>
      </c>
    </row>
    <row r="6" ht="60" customHeight="1" spans="1:2" x14ac:dyDescent="0.25">
      <c r="A6" s="14" t="s">
        <v>205</v>
      </c>
      <c r="B6" s="2" t="s">
        <v>206</v>
      </c>
    </row>
    <row r="7" ht="60" customHeight="1" spans="1:2" x14ac:dyDescent="0.25">
      <c r="A7" s="14" t="s">
        <v>207</v>
      </c>
      <c r="B7" s="2" t="s">
        <v>208</v>
      </c>
    </row>
    <row r="8" ht="18" customHeight="1" spans="1:2" x14ac:dyDescent="0.25">
      <c r="A8" s="14" t="s">
        <v>209</v>
      </c>
      <c r="B8" s="2" t="s">
        <v>210</v>
      </c>
    </row>
    <row r="9" ht="18" customHeight="1" spans="1:2" x14ac:dyDescent="0.25">
      <c r="A9" s="14" t="s">
        <v>55</v>
      </c>
      <c r="B9" s="2" t="s">
        <v>55</v>
      </c>
    </row>
    <row r="10" ht="18" customHeight="1" spans="1:2" x14ac:dyDescent="0.25">
      <c r="A10" s="14" t="s">
        <v>199</v>
      </c>
      <c r="B10" s="15" t="s">
        <v>211</v>
      </c>
    </row>
    <row r="11" ht="60" customHeight="1" spans="1:2" x14ac:dyDescent="0.25">
      <c r="A11" s="14" t="s">
        <v>212</v>
      </c>
      <c r="B11" s="2" t="s">
        <v>213</v>
      </c>
    </row>
    <row r="12" ht="60" customHeight="1" spans="1:2" x14ac:dyDescent="0.25">
      <c r="A12" s="14" t="s">
        <v>214</v>
      </c>
      <c r="B12" s="2" t="s">
        <v>215</v>
      </c>
    </row>
    <row r="13" ht="60" customHeight="1" spans="1:2" x14ac:dyDescent="0.25">
      <c r="A13" s="14" t="s">
        <v>216</v>
      </c>
      <c r="B13" s="2" t="s">
        <v>217</v>
      </c>
    </row>
    <row r="14" ht="60" customHeight="1" spans="1:2" x14ac:dyDescent="0.25">
      <c r="A14" s="14" t="s">
        <v>218</v>
      </c>
      <c r="B14" s="2" t="s">
        <v>219</v>
      </c>
    </row>
    <row r="15" ht="60" customHeight="1" spans="1:2" x14ac:dyDescent="0.25">
      <c r="A15" s="14" t="s">
        <v>220</v>
      </c>
      <c r="B15" s="2" t="s">
        <v>221</v>
      </c>
    </row>
    <row r="16" ht="18" customHeight="1" spans="1:2" x14ac:dyDescent="0.25">
      <c r="A16" s="14" t="s">
        <v>209</v>
      </c>
      <c r="B16" s="2" t="s">
        <v>222</v>
      </c>
    </row>
    <row r="17" ht="18" customHeight="1" spans="1:2" x14ac:dyDescent="0.25">
      <c r="A17" s="14" t="s">
        <v>55</v>
      </c>
      <c r="B17" s="2" t="s">
        <v>55</v>
      </c>
    </row>
    <row r="18" ht="18" customHeight="1" spans="1:2" x14ac:dyDescent="0.25">
      <c r="A18" s="14" t="s">
        <v>199</v>
      </c>
      <c r="B18" s="15" t="s">
        <v>223</v>
      </c>
    </row>
    <row r="19" ht="32" customHeight="1" spans="1:2" x14ac:dyDescent="0.25">
      <c r="A19" s="14" t="s">
        <v>224</v>
      </c>
      <c r="B19" s="2" t="s">
        <v>225</v>
      </c>
    </row>
    <row r="20" ht="60" customHeight="1" spans="1:2" x14ac:dyDescent="0.25">
      <c r="A20" s="14" t="s">
        <v>226</v>
      </c>
      <c r="B20" s="2" t="s">
        <v>227</v>
      </c>
    </row>
    <row r="21" ht="18" customHeight="1" spans="1:2" x14ac:dyDescent="0.25">
      <c r="A21" s="14" t="s">
        <v>55</v>
      </c>
      <c r="B21" s="2" t="s">
        <v>55</v>
      </c>
    </row>
    <row r="22" ht="18" customHeight="1" spans="1:2" x14ac:dyDescent="0.25">
      <c r="A22" s="14" t="s">
        <v>228</v>
      </c>
      <c r="B22" s="2" t="s">
        <v>229</v>
      </c>
    </row>
    <row r="23" ht="60" customHeight="1" spans="1:2" x14ac:dyDescent="0.25">
      <c r="A23" s="14" t="s">
        <v>25</v>
      </c>
      <c r="B23" s="2" t="s">
        <v>230</v>
      </c>
    </row>
    <row r="24" ht="18" customHeight="1" spans="1:2" x14ac:dyDescent="0.25">
      <c r="A24" s="14" t="s">
        <v>231</v>
      </c>
      <c r="B24" s="2" t="s">
        <v>232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Mode d'emploi</vt:lpstr>
      <vt:lpstr>Suivi VGP</vt:lpstr>
      <vt:lpstr>Référentiel VGP</vt:lpstr>
      <vt:lpstr>Sources</vt:lpstr>
    </vt:vector>
  </TitlesOfParts>
  <Company>Deralis Digital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TraviXO Systems</dc:creator>
  <dc:title>Tableau de suivi des VGP</dc:title>
  <dc:subject/>
  <dc:description>Registre de suivi des vérifications générales périodiques, avec périodicités sourcées sur les arrêtés du 1er mars 2004 et du 5 mars 1993.</dc:description>
  <cp:keywords/>
  <cp:category/>
  <cp:lastModifiedBy>Unknown</cp:lastModifiedBy>
  <dcterms:created xsi:type="dcterms:W3CDTF">2026-08-21T12:29:55Z</dcterms:created>
  <dcterms:modified xsi:type="dcterms:W3CDTF">2026-08-21T12:29:55Z</dcterms:modified>
</cp:coreProperties>
</file>