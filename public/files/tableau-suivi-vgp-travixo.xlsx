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20000" activeTab="0"/>
  </bookViews>
  <sheets>
    <sheet sheetId="1" name="Mode d'emploi" state="visible" r:id="rId4"/>
    <sheet sheetId="2" name="Suivi VGP" state="visible" r:id="rId5"/>
    <sheet sheetId="3" name="Référentiel VGP" state="visible" r:id="rId6"/>
    <sheet sheetId="4" name="Sources" state="visible" r:id="rId7"/>
  </sheets>
  <calcPr calcId="171027"/>
</workbook>
</file>

<file path=xl/sharedStrings.xml><?xml version="1.0" encoding="utf-8"?>
<sst xmlns="http://schemas.openxmlformats.org/spreadsheetml/2006/main" count="199" uniqueCount="154">
  <si>
    <t>Tableau de suivi des VGP</t>
  </si>
  <si>
    <t>Quatre onglets : ce mode d'emploi, la saisie dans « Suivi VGP », le référentiel de périodicités, et les textes sur lesquels il se fonde.</t>
  </si>
  <si>
    <t>1. Remplissez l'onglet « Suivi VGP »</t>
  </si>
  <si>
    <t>Saisissez une ligne par machine. Seules les colonnes blanches se remplissent à la main.</t>
  </si>
  <si>
    <t>La colonne « Type d'équipement (VGP) » est une liste déroulante : c'est elle qui détermine la périodicité.</t>
  </si>
  <si>
    <t>Renseignez la date de la dernière VGP. Le reste se calcule.</t>
  </si>
  <si>
    <t>2. Les colonnes grisées se calculent seules</t>
  </si>
  <si>
    <t>Périodicité : lue dans l'onglet « Référentiel VGP » à partir du type choisi.</t>
  </si>
  <si>
    <t>Prochaine échéance : date de la dernière VGP décalée de la périodicité.</t>
  </si>
  <si>
    <t>Jours restants et statut : recalculés à chaque ouverture du fichier.</t>
  </si>
  <si>
    <t>3. Les couleurs</t>
  </si>
  <si>
    <t>Rouge, « Dépassée » : l'échéance est passée.</t>
  </si>
  <si>
    <t>Orange, « À planifier » : l'échéance tombe dans les 30 jours.</t>
  </si>
  <si>
    <t>Vert, « À jour ».</t>
  </si>
  <si>
    <t>Gris, « À renseigner » : il manque la date de dernière VGP. Gris, « Hors champ » : l'équipement relève d'un autre régime de vérification.</t>
  </si>
  <si>
    <t>4. Les six premières lignes sont des exemples</t>
  </si>
  <si>
    <t>Supprimez-les avant de saisir votre parc. Les formules des lignes suivantes restent en place.</t>
  </si>
  <si>
    <t>5. Ce que ce fichier ne fait pas</t>
  </si>
  <si>
    <t>Il ne prévient personne. Un tableur ne relance pas, ne conserve pas les rapports et ne dit pas où se trouve la machine au moment où l'échéance tombe.</t>
  </si>
  <si>
    <t>C'est ce que fait TraviXO : les échéances, les rapports et l'historique reliés à chaque machine, consultables par QR code.</t>
  </si>
  <si>
    <t>https://travixosystems.com/fr/logiciel-vgp</t>
  </si>
  <si>
    <t>Portée</t>
  </si>
  <si>
    <t>Les périodicités de l'onglet « Référentiel VGP » sont sourcées sur les textes cités dans l'onglet « Sources ».</t>
  </si>
  <si>
    <t>Ce fichier ne remplace ni la lecture de ces textes, ni l'avis de la personne qualifiée qui réalise la vérification.</t>
  </si>
  <si>
    <t>Désignation</t>
  </si>
  <si>
    <t>Catégorie parc</t>
  </si>
  <si>
    <t>Marque et modèle</t>
  </si>
  <si>
    <t>N° de série</t>
  </si>
  <si>
    <t>Emplacement</t>
  </si>
  <si>
    <t>Type d'équipement (VGP)</t>
  </si>
  <si>
    <t>Périodicité (mois)</t>
  </si>
  <si>
    <t>Date dernière VGP</t>
  </si>
  <si>
    <t>Prochaine échéance</t>
  </si>
  <si>
    <t>Jours restants</t>
  </si>
  <si>
    <t>Statut</t>
  </si>
  <si>
    <t>Responsabilité</t>
  </si>
  <si>
    <t>Vérificateur</t>
  </si>
  <si>
    <t>Observations</t>
  </si>
  <si>
    <t>Nacelle articulée 16 m</t>
  </si>
  <si>
    <t>Nacelle</t>
  </si>
  <si>
    <t>Haulotte HA16RTJ</t>
  </si>
  <si>
    <t>HA16-4471</t>
  </si>
  <si>
    <t>Dépôt Noisy</t>
  </si>
  <si>
    <t>Nacelle élévatrice (PEMP)</t>
  </si>
  <si>
    <t>Loueur</t>
  </si>
  <si>
    <t>Apave</t>
  </si>
  <si>
    <t>Échéance dépassée, machine immobilisée</t>
  </si>
  <si>
    <t>Chariot télescopique 4 t</t>
  </si>
  <si>
    <t>Chariot</t>
  </si>
  <si>
    <t>Manitou MT1440</t>
  </si>
  <si>
    <t>MT-220913</t>
  </si>
  <si>
    <t>Chantier Bobigny</t>
  </si>
  <si>
    <t>Chariot élévateur</t>
  </si>
  <si>
    <t>Locataire</t>
  </si>
  <si>
    <t>Vérificateur interne</t>
  </si>
  <si>
    <t>En location, retour prévu avant l'échéance</t>
  </si>
  <si>
    <t>Mini-pelle 2,5 t</t>
  </si>
  <si>
    <t>Engin</t>
  </si>
  <si>
    <t>Kubota KX027-4</t>
  </si>
  <si>
    <t>KX-88120</t>
  </si>
  <si>
    <t>Engin de terrassement à conducteur porté (sans levage)</t>
  </si>
  <si>
    <t>Bureau Veritas</t>
  </si>
  <si>
    <t>Sans équipement de levage</t>
  </si>
  <si>
    <t>Pelle 8 t avec crochet</t>
  </si>
  <si>
    <t>Yanmar SV100</t>
  </si>
  <si>
    <t>SV-33017</t>
  </si>
  <si>
    <t>Chantier Pantin</t>
  </si>
  <si>
    <t>Engin de terrassement équipé pour le levage</t>
  </si>
  <si>
    <t>Crochet de manutention monté, périodicité ramenée à 6 mois</t>
  </si>
  <si>
    <t>Grue auxiliaire 12 t/m</t>
  </si>
  <si>
    <t>Divers</t>
  </si>
  <si>
    <t>Palfinger PK 15.501</t>
  </si>
  <si>
    <t>PK-71204</t>
  </si>
  <si>
    <t>Atelier</t>
  </si>
  <si>
    <t>Grue auxiliaire de chargement sur véhicule</t>
  </si>
  <si>
    <t>Interne</t>
  </si>
  <si>
    <t/>
  </si>
  <si>
    <t>Machine reprise, dernier rapport à retrouver</t>
  </si>
  <si>
    <t>Compresseur 5 m³/min</t>
  </si>
  <si>
    <t>Compresseur</t>
  </si>
  <si>
    <t>Atlas Copco XAS 88</t>
  </si>
  <si>
    <t>XAS-50611</t>
  </si>
  <si>
    <t>Relève d'un autre régime de vérification</t>
  </si>
  <si>
    <t>Type d'équipement</t>
  </si>
  <si>
    <t>Fondement réglementaire</t>
  </si>
  <si>
    <t>Point de vigilance</t>
  </si>
  <si>
    <t>Fiche détaillée</t>
  </si>
  <si>
    <t>Art. 20-II et 23, arrêté du 1er mars 2004</t>
  </si>
  <si>
    <t>https://travixosystems.com/fr/vgp/nacelle-pemp</t>
  </si>
  <si>
    <t>https://travixosystems.com/fr/vgp/chariot-elevateur</t>
  </si>
  <si>
    <t>https://travixosystems.com/fr/vgp/grue-auxiliaire-chargement</t>
  </si>
  <si>
    <t>C'est l'équipement de levage qui fait entrer l'engin dans cette ligne. Sans lui, voir la ligne « engin de terrassement à conducteur porté ».</t>
  </si>
  <si>
    <t>https://travixosystems.com/fr/vgp/engin-terrassement-levage</t>
  </si>
  <si>
    <t>Hayon élévateur</t>
  </si>
  <si>
    <t>https://travixosystems.com/fr/vgp/hayon-elevateur</t>
  </si>
  <si>
    <t>Monte-matériaux de chantier</t>
  </si>
  <si>
    <t>Grue mobile automotrice ou sur porteur</t>
  </si>
  <si>
    <t>La ligne du II de l'article 20 vise les grues mobiles ne nécessitant pas de montage ou de démontage de parties importantes.</t>
  </si>
  <si>
    <t>Pont roulant, palan ou potence</t>
  </si>
  <si>
    <t>Art. 23, règle générale, arrêté du 1er mars 2004</t>
  </si>
  <si>
    <t>https://travixosystems.com/fr/vgp/pont-roulant-palan</t>
  </si>
  <si>
    <t>Art. 2, arrêté du 5 mars 1993</t>
  </si>
  <si>
    <t>Le texte vise les machines à conducteur porté. Le compactage ne figure pas dans les quatre opérations énumérées.</t>
  </si>
  <si>
    <t>https://travixosystems.com/fr/vgp/engin-terrassement-conducteur-porte</t>
  </si>
  <si>
    <t>Machine à battre les palplanches</t>
  </si>
  <si>
    <t>https://travixosystems.com/fr/vgp/machine-battre-palplanches</t>
  </si>
  <si>
    <t>Compacteur à déchets</t>
  </si>
  <si>
    <t>Art. 1er, arrêté du 5 mars 1993</t>
  </si>
  <si>
    <t>Deux conditions cumulatives : machine mue par une énergie autre que la force humaine employée directement, et chargement ou déchargement manuel en phase de production.</t>
  </si>
  <si>
    <t>https://travixosystems.com/fr/vgp/compacteur-dechets</t>
  </si>
  <si>
    <t>Hors champ</t>
  </si>
  <si>
    <t>Hors VGP levage. Régime des équipements sous pression</t>
  </si>
  <si>
    <t>Ne relève ni de l'arrêté du 1er mars 2004 ni de celui du 5 mars 1993. Périodicité à établir sur le régime applicable.</t>
  </si>
  <si>
    <t>Groupe électrogène</t>
  </si>
  <si>
    <t>Hors VGP levage. Vérification des installations électriques</t>
  </si>
  <si>
    <t>Autre (à qualifier)</t>
  </si>
  <si>
    <t>À qualifier par la personne qualifiée</t>
  </si>
  <si>
    <t>Aucune périodicité n'est proposée tant que l'équipement n'est pas rattaché à un texte.</t>
  </si>
  <si>
    <t>Objet</t>
  </si>
  <si>
    <t>Sources primaires des périodicités de l'onglet « Référentiel VGP ».</t>
  </si>
  <si>
    <t>Texte</t>
  </si>
  <si>
    <t>Arrêté du 1er mars 2004 (appareils de levage)</t>
  </si>
  <si>
    <t>Champ</t>
  </si>
  <si>
    <t>Article 22 : VGP des appareils de levage visés à l'article 2-a.</t>
  </si>
  <si>
    <t>Règle générale</t>
  </si>
  <si>
    <t>« La vérification générale périodique des appareils de levage soumis à l'article 22 doit avoir lieu tous les douze mois. » (art. 23)</t>
  </si>
  <si>
    <t>Exception six mois</t>
  </si>
  <si>
    <t>Appareils énumérés aux II et III de l'article 20, dont : grues auxiliaires de chargement sur véhicules ; hayons élévateurs ; monte-matériaux de chantier ; engins de terrassement équipés pour le levage ; grues mobiles ne nécessitant pas de montage de parties importantes ; chariots élévateurs ; plates-formes élévatrices mobiles de personnes.</t>
  </si>
  <si>
    <t>En location</t>
  </si>
  <si>
    <t>« A cet effet, il doit être placé sur l'appareil, ou à défaut à proximité, avec la notice d'instructions, les copies des rapports de vérification de première mise en service et de la dernière vérification périodique ainsi que l'historique des vérifications périodiques effectuées. » (art. 15-II)</t>
  </si>
  <si>
    <t>Lien</t>
  </si>
  <si>
    <t>https://www.legifrance.gouv.fr/loda/id/JORFTEXT000000439029</t>
  </si>
  <si>
    <t>Arrêté du 5 mars 1993 (machines hors levage)</t>
  </si>
  <si>
    <t>Douze mois</t>
  </si>
  <si>
    <t>« Machines mobiles d'extraction, de terrassement, d'excavation ou de forage du sol à conducteur porté et machines à battre les palplanches. » (art. 2). Le qualificatif « à conducteur porté » restreint l'énumération.</t>
  </si>
  <si>
    <t>Trois mois</t>
  </si>
  <si>
    <t>Presses, massicots, machines à cylindres pour l'industrie du caoutchouc, presses à balles, compacteurs à déchets, systèmes de compactage des véhicules de collecte (art. 1er-I).</t>
  </si>
  <si>
    <t>Restriction, art. 1er</t>
  </si>
  <si>
    <t>« Ne sont toutefois soumis à une vérification générale périodique que les équipements de travail mus par une source d'énergie autre que la force humaine employée directement et dont le chargement ou le déchargement est effectué manuellement en phase de production. » Les deux conditions sont cumulatives.</t>
  </si>
  <si>
    <t>Campagnes saisonnières</t>
  </si>
  <si>
    <t>Pour les seuls équipements de l'article 1er : si l'intercampagne dépasse trois mois, une seule vérification est requise pendant cette période, et la remise en service doit être précédée d'un essai de fonctionnement en sécurité (art. 1er-II).</t>
  </si>
  <si>
    <t>Points de contrôle</t>
  </si>
  <si>
    <t>L'article 3 énumère le contenu des vérifications des articles 1er et 2, limité aux parties visibles et aux éléments accessibles par démontage des carters ou capots.</t>
  </si>
  <si>
    <t>https://www.legifrance.gouv.fr/loda/id/LEGITEXT000006060118</t>
  </si>
  <si>
    <t>Code du travail</t>
  </si>
  <si>
    <t>R.4323-23</t>
  </si>
  <si>
    <t>Fonde l'obligation : des arrêtés déterminent les équipements soumis à vérification générale périodique, leur périodicité, leur nature et leur contenu.</t>
  </si>
  <si>
    <t>R.4323-24</t>
  </si>
  <si>
    <t>« Les vérifications générales périodiques sont réalisées par des personnes qualifiées, appartenant ou non à l'établissement, dont la liste est tenue à la disposition de l'inspection du travail. » Le recours à un organisme accrédité n'est pas imposé par le texte.</t>
  </si>
  <si>
    <t>Consulté le</t>
  </si>
  <si>
    <t>21/08/2026</t>
  </si>
  <si>
    <t>Ce tableau reprend les périodicités vérifiées sur les textes cités. Il ne remplace ni la lecture de ces textes, ni l'avis de la personne qualifiée qui réalise la vérification. Les équipements marqués « Hors champ » relèvent d'autres régimes et n'ont pas de périodicité proposée ici.</t>
  </si>
  <si>
    <t>Édité par</t>
  </si>
  <si>
    <t>TraviXO Systems, marque de Deralis Digital. https://travixosystems.com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</si>
</sst>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9" x14ac:knownFonts="1">
    <font>
      <color theme="1"/>
      <family val="2"/>
      <scheme val="minor"/>
      <sz val="11"/>
      <name val="Calibri"/>
    </font>
    <font>
      <b/>
      <color rgb="FF0A2730"/>
      <sz val="18"/>
    </font>
    <font>
      <b/>
      <color rgb="FF0A2730"/>
      <sz val="12"/>
    </font>
    <font>
      <b/>
      <color rgb="FFFFFFFF"/>
      <sz val="11"/>
    </font>
    <font>
      <b/>
    </font>
    <font>
      <u/>
      <color rgb="FFE8600A"/>
    </font>
    <font>
      <i/>
      <color rgb="FF6B7280"/>
    </font>
    <font>
      <b/>
      <color rgb="FF0A2730"/>
    </font>
    <font>
      <b/>
      <color rgb="FFE8600A"/>
      <sz val="12"/>
    </font>
  </fonts>
  <fills count="4">
    <fill>
      <patternFill patternType="none"/>
    </fill>
    <fill>
      <patternFill patternType="gray125"/>
    </fill>
    <fill>
      <patternFill patternType="solid">
        <fgColor rgb="FF0A2730"/>
      </patternFill>
    </fill>
    <fill>
      <patternFill patternType="solid">
        <fgColor rgb="FFF6F8FD"/>
      </patternFill>
    </fill>
  </fills>
  <borders count="2">
    <border>
      <left/>
      <right/>
      <top/>
      <bottom/>
      <diagonal/>
    </border>
    <border>
      <left/>
      <right/>
      <top/>
      <bottom style="medium">
        <color rgb="FFE8600A"/>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2" borderId="1" xfId="0" applyFont="1" applyFill="1" applyBorder="1" applyAlignment="1">
      <alignment vertical="center" wrapText="1"/>
    </xf>
    <xf numFmtId="0" fontId="0" fillId="3" borderId="0" xfId="0" applyFill="1" applyAlignment="1">
      <alignment horizontal="center"/>
    </xf>
    <xf numFmtId="164" fontId="0" fillId="0" borderId="0" xfId="0" applyNumberFormat="1"/>
    <xf numFmtId="164" fontId="0" fillId="3" borderId="0" xfId="0" applyNumberFormat="1" applyFill="1"/>
    <xf numFmtId="0" fontId="4" fillId="3" borderId="0" xfId="0" applyFont="1" applyFill="1" applyAlignment="1">
      <alignment horizontal="center"/>
    </xf>
    <xf numFmtId="0" fontId="0" fillId="0" borderId="0" xfId="0" applyAlignment="1">
      <alignment horizontal="center"/>
    </xf>
    <xf numFmtId="0" fontId="5" fillId="0" borderId="0" xfId="0" applyFont="1"/>
    <xf numFmtId="0" fontId="6" fillId="0" borderId="0" xfId="0" applyFont="1" applyAlignment="1">
      <alignment horizontal="center"/>
    </xf>
    <xf numFmtId="0" fontId="7" fillId="0" borderId="0" xfId="0" applyFont="1" applyAlignment="1">
      <alignment vertical="top"/>
    </xf>
    <xf numFmtId="0" fontId="8" fillId="0" borderId="0" xfId="0" applyFont="1" applyAlignment="1">
      <alignment vertical="top" wrapText="1"/>
    </xf>
  </cellXfs>
  <cellStyles count="1">
    <cellStyle name="Normal" xfId="0" builtinId="0"/>
  </cellStyles>
  <dxfs count="4">
    <dxf>
      <font>
        <color rgb="FF9B1C1C"/>
      </font>
      <fill>
        <patternFill patternType="solid">
          <fgColor rgb="FFFDE7E7"/>
        </patternFill>
      </fill>
    </dxf>
    <dxf>
      <font>
        <color rgb="FF92400E"/>
      </font>
      <fill>
        <patternFill patternType="solid">
          <fgColor rgb="FFFEF3C7"/>
        </patternFill>
      </fill>
    </dxf>
    <dxf>
      <font>
        <color rgb="FF1B5E20"/>
      </font>
      <fill>
        <patternFill patternType="solid">
          <fgColor rgb="FFE8F5E9"/>
        </patternFill>
      </fill>
    </dxf>
    <dxf>
      <font>
        <i/>
        <color rgb="FF6B728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travixosystems.com/fr/vgp/nacelle-pemp" TargetMode="External"/><Relationship Id="rId2" Type="http://schemas.openxmlformats.org/officeDocument/2006/relationships/hyperlink" Target="https://travixosystems.com/fr/vgp/chariot-elevateur" TargetMode="External"/><Relationship Id="rId3" Type="http://schemas.openxmlformats.org/officeDocument/2006/relationships/hyperlink" Target="https://travixosystems.com/fr/vgp/grue-auxiliaire-chargement" TargetMode="External"/><Relationship Id="rId4" Type="http://schemas.openxmlformats.org/officeDocument/2006/relationships/hyperlink" Target="https://travixosystems.com/fr/vgp/engin-terrassement-levage" TargetMode="External"/><Relationship Id="rId5" Type="http://schemas.openxmlformats.org/officeDocument/2006/relationships/hyperlink" Target="https://travixosystems.com/fr/vgp/hayon-elevateur" TargetMode="External"/><Relationship Id="rId6" Type="http://schemas.openxmlformats.org/officeDocument/2006/relationships/hyperlink" Target="https://travixosystems.com/fr/vgp/pont-roulant-palan" TargetMode="External"/><Relationship Id="rId7" Type="http://schemas.openxmlformats.org/officeDocument/2006/relationships/hyperlink" Target="https://travixosystems.com/fr/vgp/engin-terrassement-conducteur-porte" TargetMode="External"/><Relationship Id="rId8" Type="http://schemas.openxmlformats.org/officeDocument/2006/relationships/hyperlink" Target="https://travixosystems.com/fr/vgp/machine-battre-palplanches" TargetMode="External"/><Relationship Id="rId9" Type="http://schemas.openxmlformats.org/officeDocument/2006/relationships/hyperlink" Target="https://travixosystems.com/fr/vgp/compacteur-deche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2730"/>
  </sheetPr>
  <dimension ref="B1:B31"/>
  <sheetFormatPr defaultRowHeight="15" outlineLevelRow="0" outlineLevelCol="0" x14ac:dyDescent="55"/>
  <cols>
    <col min="1" max="1" width="4" customWidth="1"/>
    <col min="2" max="2" width="116" customWidth="1"/>
  </cols>
  <sheetData>
    <row r="1" ht="30" customHeight="1" spans="2:2" x14ac:dyDescent="0.25">
      <c r="B1" s="1" t="s">
        <v>0</v>
      </c>
    </row>
    <row r="3" ht="32" customHeight="1" spans="2:2" x14ac:dyDescent="0.25">
      <c r="B3" s="2" t="s">
        <v>1</v>
      </c>
    </row>
    <row r="5" ht="22" customHeight="1" spans="2:2" x14ac:dyDescent="0.25">
      <c r="B5" s="3" t="s">
        <v>2</v>
      </c>
    </row>
    <row r="6" ht="18" customHeight="1" spans="2:2" x14ac:dyDescent="0.25">
      <c r="B6" s="2" t="s">
        <v>3</v>
      </c>
    </row>
    <row r="7" ht="18" customHeight="1" spans="2:2" x14ac:dyDescent="0.25">
      <c r="B7" s="2" t="s">
        <v>4</v>
      </c>
    </row>
    <row r="8" ht="18" customHeight="1" spans="2:2" x14ac:dyDescent="0.25">
      <c r="B8" s="2" t="s">
        <v>5</v>
      </c>
    </row>
    <row r="10" ht="22" customHeight="1" spans="2:2" x14ac:dyDescent="0.25">
      <c r="B10" s="3" t="s">
        <v>6</v>
      </c>
    </row>
    <row r="11" ht="18" customHeight="1" spans="2:2" x14ac:dyDescent="0.25">
      <c r="B11" s="2" t="s">
        <v>7</v>
      </c>
    </row>
    <row r="12" ht="18" customHeight="1" spans="2:2" x14ac:dyDescent="0.25">
      <c r="B12" s="2" t="s">
        <v>8</v>
      </c>
    </row>
    <row r="13" ht="18" customHeight="1" spans="2:2" x14ac:dyDescent="0.25">
      <c r="B13" s="2" t="s">
        <v>9</v>
      </c>
    </row>
    <row r="15" ht="22" customHeight="1" spans="2:2" x14ac:dyDescent="0.25">
      <c r="B15" s="3" t="s">
        <v>10</v>
      </c>
    </row>
    <row r="16" ht="18" customHeight="1" spans="2:2" x14ac:dyDescent="0.25">
      <c r="B16" s="2" t="s">
        <v>11</v>
      </c>
    </row>
    <row r="17" ht="18" customHeight="1" spans="2:2" x14ac:dyDescent="0.25">
      <c r="B17" s="2" t="s">
        <v>12</v>
      </c>
    </row>
    <row r="18" ht="18" customHeight="1" spans="2:2" x14ac:dyDescent="0.25">
      <c r="B18" s="2" t="s">
        <v>13</v>
      </c>
    </row>
    <row r="19" ht="32" customHeight="1" spans="2:2" x14ac:dyDescent="0.25">
      <c r="B19" s="2" t="s">
        <v>14</v>
      </c>
    </row>
    <row r="21" ht="22" customHeight="1" spans="2:2" x14ac:dyDescent="0.25">
      <c r="B21" s="3" t="s">
        <v>15</v>
      </c>
    </row>
    <row r="22" ht="18" customHeight="1" spans="2:2" x14ac:dyDescent="0.25">
      <c r="B22" s="2" t="s">
        <v>16</v>
      </c>
    </row>
    <row r="24" ht="22" customHeight="1" spans="2:2" x14ac:dyDescent="0.25">
      <c r="B24" s="3" t="s">
        <v>17</v>
      </c>
    </row>
    <row r="25" ht="32" customHeight="1" spans="2:2" x14ac:dyDescent="0.25">
      <c r="B25" s="2" t="s">
        <v>18</v>
      </c>
    </row>
    <row r="26" ht="32" customHeight="1" spans="2:2" x14ac:dyDescent="0.25">
      <c r="B26" s="2" t="s">
        <v>19</v>
      </c>
    </row>
    <row r="27" ht="18" customHeight="1" spans="2:2" x14ac:dyDescent="0.25">
      <c r="B27" s="2" t="s">
        <v>20</v>
      </c>
    </row>
    <row r="29" ht="22" customHeight="1" spans="2:2" x14ac:dyDescent="0.25">
      <c r="B29" s="3" t="s">
        <v>21</v>
      </c>
    </row>
    <row r="30" ht="18" customHeight="1" spans="2:2" x14ac:dyDescent="0.25">
      <c r="B30" s="2" t="s">
        <v>22</v>
      </c>
    </row>
    <row r="31" ht="32" customHeight="1" spans="2:2" x14ac:dyDescent="0.25">
      <c r="B31" s="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8600A"/>
  </sheetPr>
  <dimension ref="A1:N20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20" customWidth="1"/>
    <col min="4" max="4" width="18" customWidth="1"/>
    <col min="5" max="5" width="20" customWidth="1"/>
    <col min="6" max="6" width="34" customWidth="1"/>
    <col min="7" max="7" width="14" customWidth="1"/>
    <col min="8" max="9" width="16" customWidth="1"/>
    <col min="10" max="10" width="13" customWidth="1"/>
    <col min="11" max="11" width="15" customWidth="1"/>
    <col min="12" max="12" width="16" customWidth="1"/>
    <col min="13" max="13" width="22" customWidth="1"/>
    <col min="14" max="14" width="40" customWidth="1"/>
  </cols>
  <sheetData>
    <row r="1" ht="34" customHeight="1" spans="1:14" x14ac:dyDescent="0.25">
      <c r="A1" s="4" t="s">
        <v>24</v>
      </c>
      <c r="B1" s="4" t="s">
        <v>25</v>
      </c>
      <c r="C1" s="4" t="s">
        <v>26</v>
      </c>
      <c r="D1" s="4" t="s">
        <v>27</v>
      </c>
      <c r="E1" s="4" t="s">
        <v>28</v>
      </c>
      <c r="F1" s="4" t="s">
        <v>29</v>
      </c>
      <c r="G1" s="4" t="s">
        <v>30</v>
      </c>
      <c r="H1" s="4" t="s">
        <v>31</v>
      </c>
      <c r="I1" s="4" t="s">
        <v>32</v>
      </c>
      <c r="J1" s="4" t="s">
        <v>33</v>
      </c>
      <c r="K1" s="4" t="s">
        <v>34</v>
      </c>
      <c r="L1" s="4" t="s">
        <v>35</v>
      </c>
      <c r="M1" s="4" t="s">
        <v>36</v>
      </c>
      <c r="N1" s="4" t="s">
        <v>37</v>
      </c>
    </row>
    <row r="2" spans="1:14" x14ac:dyDescent="0.25">
      <c r="A2" t="s">
        <v>38</v>
      </c>
      <c r="B2" t="s">
        <v>39</v>
      </c>
      <c r="C2" t="s">
        <v>40</v>
      </c>
      <c r="D2" t="s">
        <v>41</v>
      </c>
      <c r="E2" t="s">
        <v>42</v>
      </c>
      <c r="F2" t="s">
        <v>43</v>
      </c>
      <c r="G2" s="5">
        <f>IF($F2="","",IFERROR(VLOOKUP($F2,'Référentiel VGP'!$A$2:$B$15,2,FALSE),""))</f>
        <v>6</v>
      </c>
      <c r="H2" s="6">
        <v>46040</v>
      </c>
      <c r="I2" s="7">
        <f>IF(OR($H2="",NOT(ISNUMBER($G2))),"",EDATE($H2,$G2))</f>
        <v>46221</v>
      </c>
      <c r="J2" s="5">
        <f>IF($I2="","",$I2-TODAY())</f>
        <v>-34</v>
      </c>
      <c r="K2" s="8" t="str">
        <f>IF($F2="","",IF(NOT(ISNUMBER($G2)),"Hors champ",IF($H2="","À renseigner",IF($J2&lt;0,"Dépassée",IF($J2&lt;=30,"À planifier","À jour")))))</f>
        <v>Dépassée</v>
      </c>
      <c r="L2" t="s">
        <v>44</v>
      </c>
      <c r="M2" t="s">
        <v>45</v>
      </c>
      <c r="N2" t="s">
        <v>46</v>
      </c>
    </row>
    <row r="3" spans="1:14" x14ac:dyDescent="0.25">
      <c r="A3" t="s">
        <v>47</v>
      </c>
      <c r="B3" t="s">
        <v>48</v>
      </c>
      <c r="C3" t="s">
        <v>49</v>
      </c>
      <c r="D3" t="s">
        <v>50</v>
      </c>
      <c r="E3" t="s">
        <v>51</v>
      </c>
      <c r="F3" t="s">
        <v>52</v>
      </c>
      <c r="G3" s="5">
        <f>IF($F3="","",IFERROR(VLOOKUP($F3,'Référentiel VGP'!$A$2:$B$15,2,FALSE),""))</f>
        <v>6</v>
      </c>
      <c r="H3" s="6">
        <v>46089</v>
      </c>
      <c r="I3" s="7">
        <f>IF(OR($H3="",NOT(ISNUMBER($G3))),"",EDATE($H3,$G3))</f>
        <v>46273</v>
      </c>
      <c r="J3" s="5">
        <f>IF($I3="","",$I3-TODAY())</f>
        <v>18</v>
      </c>
      <c r="K3" s="8" t="str">
        <f>IF($F3="","",IF(NOT(ISNUMBER($G3)),"Hors champ",IF($H3="","À renseigner",IF($J3&lt;0,"Dépassée",IF($J3&lt;=30,"À planifier","À jour")))))</f>
        <v>À planifier</v>
      </c>
      <c r="L3" t="s">
        <v>53</v>
      </c>
      <c r="M3" t="s">
        <v>54</v>
      </c>
      <c r="N3" t="s">
        <v>55</v>
      </c>
    </row>
    <row r="4" spans="1:14" x14ac:dyDescent="0.25">
      <c r="A4" t="s">
        <v>56</v>
      </c>
      <c r="B4" t="s">
        <v>57</v>
      </c>
      <c r="C4" t="s">
        <v>58</v>
      </c>
      <c r="D4" t="s">
        <v>59</v>
      </c>
      <c r="E4" t="s">
        <v>42</v>
      </c>
      <c r="F4" t="s">
        <v>60</v>
      </c>
      <c r="G4" s="5">
        <f>IF($F4="","",IFERROR(VLOOKUP($F4,'Référentiel VGP'!$A$2:$B$15,2,FALSE),""))</f>
        <v>12</v>
      </c>
      <c r="H4" s="6">
        <v>46130</v>
      </c>
      <c r="I4" s="7">
        <f>IF(OR($H4="",NOT(ISNUMBER($G4))),"",EDATE($H4,$G4))</f>
        <v>46495</v>
      </c>
      <c r="J4" s="5">
        <f>IF($I4="","",$I4-TODAY())</f>
        <v>240</v>
      </c>
      <c r="K4" s="8" t="str">
        <f>IF($F4="","",IF(NOT(ISNUMBER($G4)),"Hors champ",IF($H4="","À renseigner",IF($J4&lt;0,"Dépassée",IF($J4&lt;=30,"À planifier","À jour")))))</f>
        <v>À jour</v>
      </c>
      <c r="L4" t="s">
        <v>44</v>
      </c>
      <c r="M4" t="s">
        <v>61</v>
      </c>
      <c r="N4" t="s">
        <v>62</v>
      </c>
    </row>
    <row r="5" spans="1:14" x14ac:dyDescent="0.25">
      <c r="A5" t="s">
        <v>63</v>
      </c>
      <c r="B5" t="s">
        <v>57</v>
      </c>
      <c r="C5" t="s">
        <v>64</v>
      </c>
      <c r="D5" t="s">
        <v>65</v>
      </c>
      <c r="E5" t="s">
        <v>66</v>
      </c>
      <c r="F5" t="s">
        <v>67</v>
      </c>
      <c r="G5" s="5">
        <f>IF($F5="","",IFERROR(VLOOKUP($F5,'Référentiel VGP'!$A$2:$B$15,2,FALSE),""))</f>
        <v>6</v>
      </c>
      <c r="H5" s="6">
        <v>46166</v>
      </c>
      <c r="I5" s="7">
        <f>IF(OR($H5="",NOT(ISNUMBER($G5))),"",EDATE($H5,$G5))</f>
        <v>46350</v>
      </c>
      <c r="J5" s="5">
        <f>IF($I5="","",$I5-TODAY())</f>
        <v>95</v>
      </c>
      <c r="K5" s="8" t="str">
        <f>IF($F5="","",IF(NOT(ISNUMBER($G5)),"Hors champ",IF($H5="","À renseigner",IF($J5&lt;0,"Dépassée",IF($J5&lt;=30,"À planifier","À jour")))))</f>
        <v>À jour</v>
      </c>
      <c r="L5" t="s">
        <v>44</v>
      </c>
      <c r="M5" t="s">
        <v>61</v>
      </c>
      <c r="N5" t="s">
        <v>68</v>
      </c>
    </row>
    <row r="6" spans="1:14" x14ac:dyDescent="0.25">
      <c r="A6" t="s">
        <v>69</v>
      </c>
      <c r="B6" t="s">
        <v>70</v>
      </c>
      <c r="C6" t="s">
        <v>71</v>
      </c>
      <c r="D6" t="s">
        <v>72</v>
      </c>
      <c r="E6" t="s">
        <v>73</v>
      </c>
      <c r="F6" t="s">
        <v>74</v>
      </c>
      <c r="G6" s="5">
        <f>IF($F6="","",IFERROR(VLOOKUP($F6,'Référentiel VGP'!$A$2:$B$15,2,FALSE),""))</f>
        <v>6</v>
      </c>
      <c r="H6" s="6"/>
      <c r="I6" s="7" t="str">
        <f>IF(OR($H6="",NOT(ISNUMBER($G6))),"",EDATE($H6,$G6))</f>
        <v/>
      </c>
      <c r="J6" s="5" t="str">
        <f>IF($I6="","",$I6-TODAY())</f>
        <v/>
      </c>
      <c r="K6" s="8" t="str">
        <f>IF($F6="","",IF(NOT(ISNUMBER($G6)),"Hors champ",IF($H6="","À renseigner",IF($J6&lt;0,"Dépassée",IF($J6&lt;=30,"À planifier","À jour")))))</f>
        <v>À renseigner</v>
      </c>
      <c r="L6" t="s">
        <v>75</v>
      </c>
      <c r="M6" t="s">
        <v>76</v>
      </c>
      <c r="N6" t="s">
        <v>77</v>
      </c>
    </row>
    <row r="7" spans="1:14" x14ac:dyDescent="0.25">
      <c r="A7" t="s">
        <v>78</v>
      </c>
      <c r="B7" t="s">
        <v>79</v>
      </c>
      <c r="C7" t="s">
        <v>80</v>
      </c>
      <c r="D7" t="s">
        <v>81</v>
      </c>
      <c r="E7" t="s">
        <v>42</v>
      </c>
      <c r="F7" t="s">
        <v>79</v>
      </c>
      <c r="G7" s="5" t="str">
        <f>IF($F7="","",IFERROR(VLOOKUP($F7,'Référentiel VGP'!$A$2:$B$15,2,FALSE),""))</f>
        <v>Hors champ</v>
      </c>
      <c r="H7" s="6"/>
      <c r="I7" s="7" t="str">
        <f>IF(OR($H7="",NOT(ISNUMBER($G7))),"",EDATE($H7,$G7))</f>
        <v/>
      </c>
      <c r="J7" s="5" t="str">
        <f>IF($I7="","",$I7-TODAY())</f>
        <v/>
      </c>
      <c r="K7" s="8" t="str">
        <f>IF($F7="","",IF(NOT(ISNUMBER($G7)),"Hors champ",IF($H7="","À renseigner",IF($J7&lt;0,"Dépassée",IF($J7&lt;=30,"À planifier","À jour")))))</f>
        <v>Hors champ</v>
      </c>
      <c r="L7" t="s">
        <v>75</v>
      </c>
      <c r="M7" t="s">
        <v>76</v>
      </c>
      <c r="N7" t="s">
        <v>82</v>
      </c>
    </row>
    <row r="8" spans="6:12" x14ac:dyDescent="0.25">
      <c r="G8" s="5" t="str">
        <f>IF($F8="","",IFERROR(VLOOKUP($F8,'Référentiel VGP'!$A$2:$B$15,2,FALSE),""))</f>
        <v/>
      </c>
      <c r="H8" s="6"/>
      <c r="I8" s="7" t="str">
        <f>IF(OR($H8="",NOT(ISNUMBER($G8))),"",EDATE($H8,$G8))</f>
        <v/>
      </c>
      <c r="J8" s="5" t="str">
        <f>IF($I8="","",$I8-TODAY())</f>
        <v/>
      </c>
      <c r="K8" s="8" t="str">
        <f>IF($F8="","",IF(NOT(ISNUMBER($G8)),"Hors champ",IF($H8="","À renseigner",IF($J8&lt;0,"Dépassée",IF($J8&lt;=30,"À planifier","À jour")))))</f>
        <v/>
      </c>
    </row>
    <row r="9" spans="6:12" x14ac:dyDescent="0.25">
      <c r="G9" s="5" t="str">
        <f>IF($F9="","",IFERROR(VLOOKUP($F9,'Référentiel VGP'!$A$2:$B$15,2,FALSE),""))</f>
        <v/>
      </c>
      <c r="H9" s="6"/>
      <c r="I9" s="7" t="str">
        <f>IF(OR($H9="",NOT(ISNUMBER($G9))),"",EDATE($H9,$G9))</f>
        <v/>
      </c>
      <c r="J9" s="5" t="str">
        <f>IF($I9="","",$I9-TODAY())</f>
        <v/>
      </c>
      <c r="K9" s="8" t="str">
        <f>IF($F9="","",IF(NOT(ISNUMBER($G9)),"Hors champ",IF($H9="","À renseigner",IF($J9&lt;0,"Dépassée",IF($J9&lt;=30,"À planifier","À jour")))))</f>
        <v/>
      </c>
    </row>
    <row r="10" spans="6:12" x14ac:dyDescent="0.25">
      <c r="G10" s="5" t="str">
        <f>IF($F10="","",IFERROR(VLOOKUP($F10,'Référentiel VGP'!$A$2:$B$15,2,FALSE),""))</f>
        <v/>
      </c>
      <c r="H10" s="6"/>
      <c r="I10" s="7" t="str">
        <f>IF(OR($H10="",NOT(ISNUMBER($G10))),"",EDATE($H10,$G10))</f>
        <v/>
      </c>
      <c r="J10" s="5" t="str">
        <f>IF($I10="","",$I10-TODAY())</f>
        <v/>
      </c>
      <c r="K10" s="8" t="str">
        <f>IF($F10="","",IF(NOT(ISNUMBER($G10)),"Hors champ",IF($H10="","À renseigner",IF($J10&lt;0,"Dépassée",IF($J10&lt;=30,"À planifier","À jour")))))</f>
        <v/>
      </c>
    </row>
    <row r="11" spans="6:12" x14ac:dyDescent="0.25">
      <c r="G11" s="5" t="str">
        <f>IF($F11="","",IFERROR(VLOOKUP($F11,'Référentiel VGP'!$A$2:$B$15,2,FALSE),""))</f>
        <v/>
      </c>
      <c r="H11" s="6"/>
      <c r="I11" s="7" t="str">
        <f>IF(OR($H11="",NOT(ISNUMBER($G11))),"",EDATE($H11,$G11))</f>
        <v/>
      </c>
      <c r="J11" s="5" t="str">
        <f>IF($I11="","",$I11-TODAY())</f>
        <v/>
      </c>
      <c r="K11" s="8" t="str">
        <f>IF($F11="","",IF(NOT(ISNUMBER($G11)),"Hors champ",IF($H11="","À renseigner",IF($J11&lt;0,"Dépassée",IF($J11&lt;=30,"À planifier","À jour")))))</f>
        <v/>
      </c>
    </row>
    <row r="12" spans="6:12" x14ac:dyDescent="0.25">
      <c r="G12" s="5" t="str">
        <f>IF($F12="","",IFERROR(VLOOKUP($F12,'Référentiel VGP'!$A$2:$B$15,2,FALSE),""))</f>
        <v/>
      </c>
      <c r="H12" s="6"/>
      <c r="I12" s="7" t="str">
        <f>IF(OR($H12="",NOT(ISNUMBER($G12))),"",EDATE($H12,$G12))</f>
        <v/>
      </c>
      <c r="J12" s="5" t="str">
        <f>IF($I12="","",$I12-TODAY())</f>
        <v/>
      </c>
      <c r="K12" s="8" t="str">
        <f>IF($F12="","",IF(NOT(ISNUMBER($G12)),"Hors champ",IF($H12="","À renseigner",IF($J12&lt;0,"Dépassée",IF($J12&lt;=30,"À planifier","À jour")))))</f>
        <v/>
      </c>
    </row>
    <row r="13" spans="6:12" x14ac:dyDescent="0.25">
      <c r="G13" s="5" t="str">
        <f>IF($F13="","",IFERROR(VLOOKUP($F13,'Référentiel VGP'!$A$2:$B$15,2,FALSE),""))</f>
        <v/>
      </c>
      <c r="H13" s="6"/>
      <c r="I13" s="7" t="str">
        <f>IF(OR($H13="",NOT(ISNUMBER($G13))),"",EDATE($H13,$G13))</f>
        <v/>
      </c>
      <c r="J13" s="5" t="str">
        <f>IF($I13="","",$I13-TODAY())</f>
        <v/>
      </c>
      <c r="K13" s="8" t="str">
        <f>IF($F13="","",IF(NOT(ISNUMBER($G13)),"Hors champ",IF($H13="","À renseigner",IF($J13&lt;0,"Dépassée",IF($J13&lt;=30,"À planifier","À jour")))))</f>
        <v/>
      </c>
    </row>
    <row r="14" spans="6:12" x14ac:dyDescent="0.25">
      <c r="G14" s="5" t="str">
        <f>IF($F14="","",IFERROR(VLOOKUP($F14,'Référentiel VGP'!$A$2:$B$15,2,FALSE),""))</f>
        <v/>
      </c>
      <c r="H14" s="6"/>
      <c r="I14" s="7" t="str">
        <f>IF(OR($H14="",NOT(ISNUMBER($G14))),"",EDATE($H14,$G14))</f>
        <v/>
      </c>
      <c r="J14" s="5" t="str">
        <f>IF($I14="","",$I14-TODAY())</f>
        <v/>
      </c>
      <c r="K14" s="8" t="str">
        <f>IF($F14="","",IF(NOT(ISNUMBER($G14)),"Hors champ",IF($H14="","À renseigner",IF($J14&lt;0,"Dépassée",IF($J14&lt;=30,"À planifier","À jour")))))</f>
        <v/>
      </c>
    </row>
    <row r="15" spans="6:12" x14ac:dyDescent="0.25">
      <c r="G15" s="5" t="str">
        <f>IF($F15="","",IFERROR(VLOOKUP($F15,'Référentiel VGP'!$A$2:$B$15,2,FALSE),""))</f>
        <v/>
      </c>
      <c r="H15" s="6"/>
      <c r="I15" s="7" t="str">
        <f>IF(OR($H15="",NOT(ISNUMBER($G15))),"",EDATE($H15,$G15))</f>
        <v/>
      </c>
      <c r="J15" s="5" t="str">
        <f>IF($I15="","",$I15-TODAY())</f>
        <v/>
      </c>
      <c r="K15" s="8" t="str">
        <f>IF($F15="","",IF(NOT(ISNUMBER($G15)),"Hors champ",IF($H15="","À renseigner",IF($J15&lt;0,"Dépassée",IF($J15&lt;=30,"À planifier","À jour")))))</f>
        <v/>
      </c>
    </row>
    <row r="16" spans="6:12" x14ac:dyDescent="0.25">
      <c r="G16" s="5" t="str">
        <f>IF($F16="","",IFERROR(VLOOKUP($F16,'Référentiel VGP'!$A$2:$B$15,2,FALSE),""))</f>
        <v/>
      </c>
      <c r="H16" s="6"/>
      <c r="I16" s="7" t="str">
        <f>IF(OR($H16="",NOT(ISNUMBER($G16))),"",EDATE($H16,$G16))</f>
        <v/>
      </c>
      <c r="J16" s="5" t="str">
        <f>IF($I16="","",$I16-TODAY())</f>
        <v/>
      </c>
      <c r="K16" s="8" t="str">
        <f>IF($F16="","",IF(NOT(ISNUMBER($G16)),"Hors champ",IF($H16="","À renseigner",IF($J16&lt;0,"Dépassée",IF($J16&lt;=30,"À planifier","À jour")))))</f>
        <v/>
      </c>
    </row>
    <row r="17" spans="6:12" x14ac:dyDescent="0.25">
      <c r="G17" s="5" t="str">
        <f>IF($F17="","",IFERROR(VLOOKUP($F17,'Référentiel VGP'!$A$2:$B$15,2,FALSE),""))</f>
        <v/>
      </c>
      <c r="H17" s="6"/>
      <c r="I17" s="7" t="str">
        <f>IF(OR($H17="",NOT(ISNUMBER($G17))),"",EDATE($H17,$G17))</f>
        <v/>
      </c>
      <c r="J17" s="5" t="str">
        <f>IF($I17="","",$I17-TODAY())</f>
        <v/>
      </c>
      <c r="K17" s="8" t="str">
        <f>IF($F17="","",IF(NOT(ISNUMBER($G17)),"Hors champ",IF($H17="","À renseigner",IF($J17&lt;0,"Dépassée",IF($J17&lt;=30,"À planifier","À jour")))))</f>
        <v/>
      </c>
    </row>
    <row r="18" spans="6:12" x14ac:dyDescent="0.25">
      <c r="G18" s="5" t="str">
        <f>IF($F18="","",IFERROR(VLOOKUP($F18,'Référentiel VGP'!$A$2:$B$15,2,FALSE),""))</f>
        <v/>
      </c>
      <c r="H18" s="6"/>
      <c r="I18" s="7" t="str">
        <f>IF(OR($H18="",NOT(ISNUMBER($G18))),"",EDATE($H18,$G18))</f>
        <v/>
      </c>
      <c r="J18" s="5" t="str">
        <f>IF($I18="","",$I18-TODAY())</f>
        <v/>
      </c>
      <c r="K18" s="8" t="str">
        <f>IF($F18="","",IF(NOT(ISNUMBER($G18)),"Hors champ",IF($H18="","À renseigner",IF($J18&lt;0,"Dépassée",IF($J18&lt;=30,"À planifier","À jour")))))</f>
        <v/>
      </c>
    </row>
    <row r="19" spans="6:12" x14ac:dyDescent="0.25">
      <c r="G19" s="5" t="str">
        <f>IF($F19="","",IFERROR(VLOOKUP($F19,'Référentiel VGP'!$A$2:$B$15,2,FALSE),""))</f>
        <v/>
      </c>
      <c r="H19" s="6"/>
      <c r="I19" s="7" t="str">
        <f>IF(OR($H19="",NOT(ISNUMBER($G19))),"",EDATE($H19,$G19))</f>
        <v/>
      </c>
      <c r="J19" s="5" t="str">
        <f>IF($I19="","",$I19-TODAY())</f>
        <v/>
      </c>
      <c r="K19" s="8" t="str">
        <f>IF($F19="","",IF(NOT(ISNUMBER($G19)),"Hors champ",IF($H19="","À renseigner",IF($J19&lt;0,"Dépassée",IF($J19&lt;=30,"À planifier","À jour")))))</f>
        <v/>
      </c>
    </row>
    <row r="20" spans="6:12" x14ac:dyDescent="0.25">
      <c r="G20" s="5" t="str">
        <f>IF($F20="","",IFERROR(VLOOKUP($F20,'Référentiel VGP'!$A$2:$B$15,2,FALSE),""))</f>
        <v/>
      </c>
      <c r="H20" s="6"/>
      <c r="I20" s="7" t="str">
        <f>IF(OR($H20="",NOT(ISNUMBER($G20))),"",EDATE($H20,$G20))</f>
        <v/>
      </c>
      <c r="J20" s="5" t="str">
        <f>IF($I20="","",$I20-TODAY())</f>
        <v/>
      </c>
      <c r="K20" s="8" t="str">
        <f>IF($F20="","",IF(NOT(ISNUMBER($G20)),"Hors champ",IF($H20="","À renseigner",IF($J20&lt;0,"Dépassée",IF($J20&lt;=30,"À planifier","À jour")))))</f>
        <v/>
      </c>
    </row>
    <row r="21" spans="6:12" x14ac:dyDescent="0.25">
      <c r="G21" s="5" t="str">
        <f>IF($F21="","",IFERROR(VLOOKUP($F21,'Référentiel VGP'!$A$2:$B$15,2,FALSE),""))</f>
        <v/>
      </c>
      <c r="H21" s="6"/>
      <c r="I21" s="7" t="str">
        <f>IF(OR($H21="",NOT(ISNUMBER($G21))),"",EDATE($H21,$G21))</f>
        <v/>
      </c>
      <c r="J21" s="5" t="str">
        <f>IF($I21="","",$I21-TODAY())</f>
        <v/>
      </c>
      <c r="K21" s="8" t="str">
        <f>IF($F21="","",IF(NOT(ISNUMBER($G21)),"Hors champ",IF($H21="","À renseigner",IF($J21&lt;0,"Dépassée",IF($J21&lt;=30,"À planifier","À jour")))))</f>
        <v/>
      </c>
    </row>
    <row r="22" spans="6:12" x14ac:dyDescent="0.25">
      <c r="G22" s="5" t="str">
        <f>IF($F22="","",IFERROR(VLOOKUP($F22,'Référentiel VGP'!$A$2:$B$15,2,FALSE),""))</f>
        <v/>
      </c>
      <c r="H22" s="6"/>
      <c r="I22" s="7" t="str">
        <f>IF(OR($H22="",NOT(ISNUMBER($G22))),"",EDATE($H22,$G22))</f>
        <v/>
      </c>
      <c r="J22" s="5" t="str">
        <f>IF($I22="","",$I22-TODAY())</f>
        <v/>
      </c>
      <c r="K22" s="8" t="str">
        <f>IF($F22="","",IF(NOT(ISNUMBER($G22)),"Hors champ",IF($H22="","À renseigner",IF($J22&lt;0,"Dépassée",IF($J22&lt;=30,"À planifier","À jour")))))</f>
        <v/>
      </c>
    </row>
    <row r="23" spans="6:12" x14ac:dyDescent="0.25">
      <c r="G23" s="5" t="str">
        <f>IF($F23="","",IFERROR(VLOOKUP($F23,'Référentiel VGP'!$A$2:$B$15,2,FALSE),""))</f>
        <v/>
      </c>
      <c r="H23" s="6"/>
      <c r="I23" s="7" t="str">
        <f>IF(OR($H23="",NOT(ISNUMBER($G23))),"",EDATE($H23,$G23))</f>
        <v/>
      </c>
      <c r="J23" s="5" t="str">
        <f>IF($I23="","",$I23-TODAY())</f>
        <v/>
      </c>
      <c r="K23" s="8" t="str">
        <f>IF($F23="","",IF(NOT(ISNUMBER($G23)),"Hors champ",IF($H23="","À renseigner",IF($J23&lt;0,"Dépassée",IF($J23&lt;=30,"À planifier","À jour")))))</f>
        <v/>
      </c>
    </row>
    <row r="24" spans="6:12" x14ac:dyDescent="0.25">
      <c r="G24" s="5" t="str">
        <f>IF($F24="","",IFERROR(VLOOKUP($F24,'Référentiel VGP'!$A$2:$B$15,2,FALSE),""))</f>
        <v/>
      </c>
      <c r="H24" s="6"/>
      <c r="I24" s="7" t="str">
        <f>IF(OR($H24="",NOT(ISNUMBER($G24))),"",EDATE($H24,$G24))</f>
        <v/>
      </c>
      <c r="J24" s="5" t="str">
        <f>IF($I24="","",$I24-TODAY())</f>
        <v/>
      </c>
      <c r="K24" s="8" t="str">
        <f>IF($F24="","",IF(NOT(ISNUMBER($G24)),"Hors champ",IF($H24="","À renseigner",IF($J24&lt;0,"Dépassée",IF($J24&lt;=30,"À planifier","À jour")))))</f>
        <v/>
      </c>
    </row>
    <row r="25" spans="6:12" x14ac:dyDescent="0.25">
      <c r="G25" s="5" t="str">
        <f>IF($F25="","",IFERROR(VLOOKUP($F25,'Référentiel VGP'!$A$2:$B$15,2,FALSE),""))</f>
        <v/>
      </c>
      <c r="H25" s="6"/>
      <c r="I25" s="7" t="str">
        <f>IF(OR($H25="",NOT(ISNUMBER($G25))),"",EDATE($H25,$G25))</f>
        <v/>
      </c>
      <c r="J25" s="5" t="str">
        <f>IF($I25="","",$I25-TODAY())</f>
        <v/>
      </c>
      <c r="K25" s="8" t="str">
        <f>IF($F25="","",IF(NOT(ISNUMBER($G25)),"Hors champ",IF($H25="","À renseigner",IF($J25&lt;0,"Dépassée",IF($J25&lt;=30,"À planifier","À jour")))))</f>
        <v/>
      </c>
    </row>
    <row r="26" spans="6:12" x14ac:dyDescent="0.25">
      <c r="G26" s="5" t="str">
        <f>IF($F26="","",IFERROR(VLOOKUP($F26,'Référentiel VGP'!$A$2:$B$15,2,FALSE),""))</f>
        <v/>
      </c>
      <c r="H26" s="6"/>
      <c r="I26" s="7" t="str">
        <f>IF(OR($H26="",NOT(ISNUMBER($G26))),"",EDATE($H26,$G26))</f>
        <v/>
      </c>
      <c r="J26" s="5" t="str">
        <f>IF($I26="","",$I26-TODAY())</f>
        <v/>
      </c>
      <c r="K26" s="8" t="str">
        <f>IF($F26="","",IF(NOT(ISNUMBER($G26)),"Hors champ",IF($H26="","À renseigner",IF($J26&lt;0,"Dépassée",IF($J26&lt;=30,"À planifier","À jour")))))</f>
        <v/>
      </c>
    </row>
    <row r="27" spans="6:12" x14ac:dyDescent="0.25">
      <c r="G27" s="5" t="str">
        <f>IF($F27="","",IFERROR(VLOOKUP($F27,'Référentiel VGP'!$A$2:$B$15,2,FALSE),""))</f>
        <v/>
      </c>
      <c r="H27" s="6"/>
      <c r="I27" s="7" t="str">
        <f>IF(OR($H27="",NOT(ISNUMBER($G27))),"",EDATE($H27,$G27))</f>
        <v/>
      </c>
      <c r="J27" s="5" t="str">
        <f>IF($I27="","",$I27-TODAY())</f>
        <v/>
      </c>
      <c r="K27" s="8" t="str">
        <f>IF($F27="","",IF(NOT(ISNUMBER($G27)),"Hors champ",IF($H27="","À renseigner",IF($J27&lt;0,"Dépassée",IF($J27&lt;=30,"À planifier","À jour")))))</f>
        <v/>
      </c>
    </row>
    <row r="28" spans="6:12" x14ac:dyDescent="0.25">
      <c r="G28" s="5" t="str">
        <f>IF($F28="","",IFERROR(VLOOKUP($F28,'Référentiel VGP'!$A$2:$B$15,2,FALSE),""))</f>
        <v/>
      </c>
      <c r="H28" s="6"/>
      <c r="I28" s="7" t="str">
        <f>IF(OR($H28="",NOT(ISNUMBER($G28))),"",EDATE($H28,$G28))</f>
        <v/>
      </c>
      <c r="J28" s="5" t="str">
        <f>IF($I28="","",$I28-TODAY())</f>
        <v/>
      </c>
      <c r="K28" s="8" t="str">
        <f>IF($F28="","",IF(NOT(ISNUMBER($G28)),"Hors champ",IF($H28="","À renseigner",IF($J28&lt;0,"Dépassée",IF($J28&lt;=30,"À planifier","À jour")))))</f>
        <v/>
      </c>
    </row>
    <row r="29" spans="6:12" x14ac:dyDescent="0.25">
      <c r="G29" s="5" t="str">
        <f>IF($F29="","",IFERROR(VLOOKUP($F29,'Référentiel VGP'!$A$2:$B$15,2,FALSE),""))</f>
        <v/>
      </c>
      <c r="H29" s="6"/>
      <c r="I29" s="7" t="str">
        <f>IF(OR($H29="",NOT(ISNUMBER($G29))),"",EDATE($H29,$G29))</f>
        <v/>
      </c>
      <c r="J29" s="5" t="str">
        <f>IF($I29="","",$I29-TODAY())</f>
        <v/>
      </c>
      <c r="K29" s="8" t="str">
        <f>IF($F29="","",IF(NOT(ISNUMBER($G29)),"Hors champ",IF($H29="","À renseigner",IF($J29&lt;0,"Dépassée",IF($J29&lt;=30,"À planifier","À jour")))))</f>
        <v/>
      </c>
    </row>
    <row r="30" spans="6:12" x14ac:dyDescent="0.25">
      <c r="G30" s="5" t="str">
        <f>IF($F30="","",IFERROR(VLOOKUP($F30,'Référentiel VGP'!$A$2:$B$15,2,FALSE),""))</f>
        <v/>
      </c>
      <c r="H30" s="6"/>
      <c r="I30" s="7" t="str">
        <f>IF(OR($H30="",NOT(ISNUMBER($G30))),"",EDATE($H30,$G30))</f>
        <v/>
      </c>
      <c r="J30" s="5" t="str">
        <f>IF($I30="","",$I30-TODAY())</f>
        <v/>
      </c>
      <c r="K30" s="8" t="str">
        <f>IF($F30="","",IF(NOT(ISNUMBER($G30)),"Hors champ",IF($H30="","À renseigner",IF($J30&lt;0,"Dépassée",IF($J30&lt;=30,"À planifier","À jour")))))</f>
        <v/>
      </c>
    </row>
    <row r="31" spans="6:12" x14ac:dyDescent="0.25">
      <c r="G31" s="5" t="str">
        <f>IF($F31="","",IFERROR(VLOOKUP($F31,'Référentiel VGP'!$A$2:$B$15,2,FALSE),""))</f>
        <v/>
      </c>
      <c r="H31" s="6"/>
      <c r="I31" s="7" t="str">
        <f>IF(OR($H31="",NOT(ISNUMBER($G31))),"",EDATE($H31,$G31))</f>
        <v/>
      </c>
      <c r="J31" s="5" t="str">
        <f>IF($I31="","",$I31-TODAY())</f>
        <v/>
      </c>
      <c r="K31" s="8" t="str">
        <f>IF($F31="","",IF(NOT(ISNUMBER($G31)),"Hors champ",IF($H31="","À renseigner",IF($J31&lt;0,"Dépassée",IF($J31&lt;=30,"À planifier","À jour")))))</f>
        <v/>
      </c>
    </row>
    <row r="32" spans="6:12" x14ac:dyDescent="0.25">
      <c r="G32" s="5" t="str">
        <f>IF($F32="","",IFERROR(VLOOKUP($F32,'Référentiel VGP'!$A$2:$B$15,2,FALSE),""))</f>
        <v/>
      </c>
      <c r="H32" s="6"/>
      <c r="I32" s="7" t="str">
        <f>IF(OR($H32="",NOT(ISNUMBER($G32))),"",EDATE($H32,$G32))</f>
        <v/>
      </c>
      <c r="J32" s="5" t="str">
        <f>IF($I32="","",$I32-TODAY())</f>
        <v/>
      </c>
      <c r="K32" s="8" t="str">
        <f>IF($F32="","",IF(NOT(ISNUMBER($G32)),"Hors champ",IF($H32="","À renseigner",IF($J32&lt;0,"Dépassée",IF($J32&lt;=30,"À planifier","À jour")))))</f>
        <v/>
      </c>
    </row>
    <row r="33" spans="6:12" x14ac:dyDescent="0.25">
      <c r="G33" s="5" t="str">
        <f>IF($F33="","",IFERROR(VLOOKUP($F33,'Référentiel VGP'!$A$2:$B$15,2,FALSE),""))</f>
        <v/>
      </c>
      <c r="H33" s="6"/>
      <c r="I33" s="7" t="str">
        <f>IF(OR($H33="",NOT(ISNUMBER($G33))),"",EDATE($H33,$G33))</f>
        <v/>
      </c>
      <c r="J33" s="5" t="str">
        <f>IF($I33="","",$I33-TODAY())</f>
        <v/>
      </c>
      <c r="K33" s="8" t="str">
        <f>IF($F33="","",IF(NOT(ISNUMBER($G33)),"Hors champ",IF($H33="","À renseigner",IF($J33&lt;0,"Dépassée",IF($J33&lt;=30,"À planifier","À jour")))))</f>
        <v/>
      </c>
    </row>
    <row r="34" spans="6:12" x14ac:dyDescent="0.25">
      <c r="G34" s="5" t="str">
        <f>IF($F34="","",IFERROR(VLOOKUP($F34,'Référentiel VGP'!$A$2:$B$15,2,FALSE),""))</f>
        <v/>
      </c>
      <c r="H34" s="6"/>
      <c r="I34" s="7" t="str">
        <f>IF(OR($H34="",NOT(ISNUMBER($G34))),"",EDATE($H34,$G34))</f>
        <v/>
      </c>
      <c r="J34" s="5" t="str">
        <f>IF($I34="","",$I34-TODAY())</f>
        <v/>
      </c>
      <c r="K34" s="8" t="str">
        <f>IF($F34="","",IF(NOT(ISNUMBER($G34)),"Hors champ",IF($H34="","À renseigner",IF($J34&lt;0,"Dépassée",IF($J34&lt;=30,"À planifier","À jour")))))</f>
        <v/>
      </c>
    </row>
    <row r="35" spans="6:12" x14ac:dyDescent="0.25">
      <c r="G35" s="5" t="str">
        <f>IF($F35="","",IFERROR(VLOOKUP($F35,'Référentiel VGP'!$A$2:$B$15,2,FALSE),""))</f>
        <v/>
      </c>
      <c r="H35" s="6"/>
      <c r="I35" s="7" t="str">
        <f>IF(OR($H35="",NOT(ISNUMBER($G35))),"",EDATE($H35,$G35))</f>
        <v/>
      </c>
      <c r="J35" s="5" t="str">
        <f>IF($I35="","",$I35-TODAY())</f>
        <v/>
      </c>
      <c r="K35" s="8" t="str">
        <f>IF($F35="","",IF(NOT(ISNUMBER($G35)),"Hors champ",IF($H35="","À renseigner",IF($J35&lt;0,"Dépassée",IF($J35&lt;=30,"À planifier","À jour")))))</f>
        <v/>
      </c>
    </row>
    <row r="36" spans="6:12" x14ac:dyDescent="0.25">
      <c r="G36" s="5" t="str">
        <f>IF($F36="","",IFERROR(VLOOKUP($F36,'Référentiel VGP'!$A$2:$B$15,2,FALSE),""))</f>
        <v/>
      </c>
      <c r="H36" s="6"/>
      <c r="I36" s="7" t="str">
        <f>IF(OR($H36="",NOT(ISNUMBER($G36))),"",EDATE($H36,$G36))</f>
        <v/>
      </c>
      <c r="J36" s="5" t="str">
        <f>IF($I36="","",$I36-TODAY())</f>
        <v/>
      </c>
      <c r="K36" s="8" t="str">
        <f>IF($F36="","",IF(NOT(ISNUMBER($G36)),"Hors champ",IF($H36="","À renseigner",IF($J36&lt;0,"Dépassée",IF($J36&lt;=30,"À planifier","À jour")))))</f>
        <v/>
      </c>
    </row>
    <row r="37" spans="6:12" x14ac:dyDescent="0.25">
      <c r="G37" s="5" t="str">
        <f>IF($F37="","",IFERROR(VLOOKUP($F37,'Référentiel VGP'!$A$2:$B$15,2,FALSE),""))</f>
        <v/>
      </c>
      <c r="H37" s="6"/>
      <c r="I37" s="7" t="str">
        <f>IF(OR($H37="",NOT(ISNUMBER($G37))),"",EDATE($H37,$G37))</f>
        <v/>
      </c>
      <c r="J37" s="5" t="str">
        <f>IF($I37="","",$I37-TODAY())</f>
        <v/>
      </c>
      <c r="K37" s="8" t="str">
        <f>IF($F37="","",IF(NOT(ISNUMBER($G37)),"Hors champ",IF($H37="","À renseigner",IF($J37&lt;0,"Dépassée",IF($J37&lt;=30,"À planifier","À jour")))))</f>
        <v/>
      </c>
    </row>
    <row r="38" spans="6:12" x14ac:dyDescent="0.25">
      <c r="G38" s="5" t="str">
        <f>IF($F38="","",IFERROR(VLOOKUP($F38,'Référentiel VGP'!$A$2:$B$15,2,FALSE),""))</f>
        <v/>
      </c>
      <c r="H38" s="6"/>
      <c r="I38" s="7" t="str">
        <f>IF(OR($H38="",NOT(ISNUMBER($G38))),"",EDATE($H38,$G38))</f>
        <v/>
      </c>
      <c r="J38" s="5" t="str">
        <f>IF($I38="","",$I38-TODAY())</f>
        <v/>
      </c>
      <c r="K38" s="8" t="str">
        <f>IF($F38="","",IF(NOT(ISNUMBER($G38)),"Hors champ",IF($H38="","À renseigner",IF($J38&lt;0,"Dépassée",IF($J38&lt;=30,"À planifier","À jour")))))</f>
        <v/>
      </c>
    </row>
    <row r="39" spans="6:12" x14ac:dyDescent="0.25">
      <c r="G39" s="5" t="str">
        <f>IF($F39="","",IFERROR(VLOOKUP($F39,'Référentiel VGP'!$A$2:$B$15,2,FALSE),""))</f>
        <v/>
      </c>
      <c r="H39" s="6"/>
      <c r="I39" s="7" t="str">
        <f>IF(OR($H39="",NOT(ISNUMBER($G39))),"",EDATE($H39,$G39))</f>
        <v/>
      </c>
      <c r="J39" s="5" t="str">
        <f>IF($I39="","",$I39-TODAY())</f>
        <v/>
      </c>
      <c r="K39" s="8" t="str">
        <f>IF($F39="","",IF(NOT(ISNUMBER($G39)),"Hors champ",IF($H39="","À renseigner",IF($J39&lt;0,"Dépassée",IF($J39&lt;=30,"À planifier","À jour")))))</f>
        <v/>
      </c>
    </row>
    <row r="40" spans="6:12" x14ac:dyDescent="0.25">
      <c r="G40" s="5" t="str">
        <f>IF($F40="","",IFERROR(VLOOKUP($F40,'Référentiel VGP'!$A$2:$B$15,2,FALSE),""))</f>
        <v/>
      </c>
      <c r="H40" s="6"/>
      <c r="I40" s="7" t="str">
        <f>IF(OR($H40="",NOT(ISNUMBER($G40))),"",EDATE($H40,$G40))</f>
        <v/>
      </c>
      <c r="J40" s="5" t="str">
        <f>IF($I40="","",$I40-TODAY())</f>
        <v/>
      </c>
      <c r="K40" s="8" t="str">
        <f>IF($F40="","",IF(NOT(ISNUMBER($G40)),"Hors champ",IF($H40="","À renseigner",IF($J40&lt;0,"Dépassée",IF($J40&lt;=30,"À planifier","À jour")))))</f>
        <v/>
      </c>
    </row>
    <row r="41" spans="6:12" x14ac:dyDescent="0.25">
      <c r="G41" s="5" t="str">
        <f>IF($F41="","",IFERROR(VLOOKUP($F41,'Référentiel VGP'!$A$2:$B$15,2,FALSE),""))</f>
        <v/>
      </c>
      <c r="H41" s="6"/>
      <c r="I41" s="7" t="str">
        <f>IF(OR($H41="",NOT(ISNUMBER($G41))),"",EDATE($H41,$G41))</f>
        <v/>
      </c>
      <c r="J41" s="5" t="str">
        <f>IF($I41="","",$I41-TODAY())</f>
        <v/>
      </c>
      <c r="K41" s="8" t="str">
        <f>IF($F41="","",IF(NOT(ISNUMBER($G41)),"Hors champ",IF($H41="","À renseigner",IF($J41&lt;0,"Dépassée",IF($J41&lt;=30,"À planifier","À jour")))))</f>
        <v/>
      </c>
    </row>
    <row r="42" spans="6:12" x14ac:dyDescent="0.25">
      <c r="G42" s="5" t="str">
        <f>IF($F42="","",IFERROR(VLOOKUP($F42,'Référentiel VGP'!$A$2:$B$15,2,FALSE),""))</f>
        <v/>
      </c>
      <c r="H42" s="6"/>
      <c r="I42" s="7" t="str">
        <f>IF(OR($H42="",NOT(ISNUMBER($G42))),"",EDATE($H42,$G42))</f>
        <v/>
      </c>
      <c r="J42" s="5" t="str">
        <f>IF($I42="","",$I42-TODAY())</f>
        <v/>
      </c>
      <c r="K42" s="8" t="str">
        <f>IF($F42="","",IF(NOT(ISNUMBER($G42)),"Hors champ",IF($H42="","À renseigner",IF($J42&lt;0,"Dépassée",IF($J42&lt;=30,"À planifier","À jour")))))</f>
        <v/>
      </c>
    </row>
    <row r="43" spans="6:12" x14ac:dyDescent="0.25">
      <c r="G43" s="5" t="str">
        <f>IF($F43="","",IFERROR(VLOOKUP($F43,'Référentiel VGP'!$A$2:$B$15,2,FALSE),""))</f>
        <v/>
      </c>
      <c r="H43" s="6"/>
      <c r="I43" s="7" t="str">
        <f>IF(OR($H43="",NOT(ISNUMBER($G43))),"",EDATE($H43,$G43))</f>
        <v/>
      </c>
      <c r="J43" s="5" t="str">
        <f>IF($I43="","",$I43-TODAY())</f>
        <v/>
      </c>
      <c r="K43" s="8" t="str">
        <f>IF($F43="","",IF(NOT(ISNUMBER($G43)),"Hors champ",IF($H43="","À renseigner",IF($J43&lt;0,"Dépassée",IF($J43&lt;=30,"À planifier","À jour")))))</f>
        <v/>
      </c>
    </row>
    <row r="44" spans="6:12" x14ac:dyDescent="0.25">
      <c r="G44" s="5" t="str">
        <f>IF($F44="","",IFERROR(VLOOKUP($F44,'Référentiel VGP'!$A$2:$B$15,2,FALSE),""))</f>
        <v/>
      </c>
      <c r="H44" s="6"/>
      <c r="I44" s="7" t="str">
        <f>IF(OR($H44="",NOT(ISNUMBER($G44))),"",EDATE($H44,$G44))</f>
        <v/>
      </c>
      <c r="J44" s="5" t="str">
        <f>IF($I44="","",$I44-TODAY())</f>
        <v/>
      </c>
      <c r="K44" s="8" t="str">
        <f>IF($F44="","",IF(NOT(ISNUMBER($G44)),"Hors champ",IF($H44="","À renseigner",IF($J44&lt;0,"Dépassée",IF($J44&lt;=30,"À planifier","À jour")))))</f>
        <v/>
      </c>
    </row>
    <row r="45" spans="6:12" x14ac:dyDescent="0.25">
      <c r="G45" s="5" t="str">
        <f>IF($F45="","",IFERROR(VLOOKUP($F45,'Référentiel VGP'!$A$2:$B$15,2,FALSE),""))</f>
        <v/>
      </c>
      <c r="H45" s="6"/>
      <c r="I45" s="7" t="str">
        <f>IF(OR($H45="",NOT(ISNUMBER($G45))),"",EDATE($H45,$G45))</f>
        <v/>
      </c>
      <c r="J45" s="5" t="str">
        <f>IF($I45="","",$I45-TODAY())</f>
        <v/>
      </c>
      <c r="K45" s="8" t="str">
        <f>IF($F45="","",IF(NOT(ISNUMBER($G45)),"Hors champ",IF($H45="","À renseigner",IF($J45&lt;0,"Dépassée",IF($J45&lt;=30,"À planifier","À jour")))))</f>
        <v/>
      </c>
    </row>
    <row r="46" spans="6:12" x14ac:dyDescent="0.25">
      <c r="G46" s="5" t="str">
        <f>IF($F46="","",IFERROR(VLOOKUP($F46,'Référentiel VGP'!$A$2:$B$15,2,FALSE),""))</f>
        <v/>
      </c>
      <c r="H46" s="6"/>
      <c r="I46" s="7" t="str">
        <f>IF(OR($H46="",NOT(ISNUMBER($G46))),"",EDATE($H46,$G46))</f>
        <v/>
      </c>
      <c r="J46" s="5" t="str">
        <f>IF($I46="","",$I46-TODAY())</f>
        <v/>
      </c>
      <c r="K46" s="8" t="str">
        <f>IF($F46="","",IF(NOT(ISNUMBER($G46)),"Hors champ",IF($H46="","À renseigner",IF($J46&lt;0,"Dépassée",IF($J46&lt;=30,"À planifier","À jour")))))</f>
        <v/>
      </c>
    </row>
    <row r="47" spans="6:12" x14ac:dyDescent="0.25">
      <c r="G47" s="5" t="str">
        <f>IF($F47="","",IFERROR(VLOOKUP($F47,'Référentiel VGP'!$A$2:$B$15,2,FALSE),""))</f>
        <v/>
      </c>
      <c r="H47" s="6"/>
      <c r="I47" s="7" t="str">
        <f>IF(OR($H47="",NOT(ISNUMBER($G47))),"",EDATE($H47,$G47))</f>
        <v/>
      </c>
      <c r="J47" s="5" t="str">
        <f>IF($I47="","",$I47-TODAY())</f>
        <v/>
      </c>
      <c r="K47" s="8" t="str">
        <f>IF($F47="","",IF(NOT(ISNUMBER($G47)),"Hors champ",IF($H47="","À renseigner",IF($J47&lt;0,"Dépassée",IF($J47&lt;=30,"À planifier","À jour")))))</f>
        <v/>
      </c>
    </row>
    <row r="48" spans="6:12" x14ac:dyDescent="0.25">
      <c r="G48" s="5" t="str">
        <f>IF($F48="","",IFERROR(VLOOKUP($F48,'Référentiel VGP'!$A$2:$B$15,2,FALSE),""))</f>
        <v/>
      </c>
      <c r="H48" s="6"/>
      <c r="I48" s="7" t="str">
        <f>IF(OR($H48="",NOT(ISNUMBER($G48))),"",EDATE($H48,$G48))</f>
        <v/>
      </c>
      <c r="J48" s="5" t="str">
        <f>IF($I48="","",$I48-TODAY())</f>
        <v/>
      </c>
      <c r="K48" s="8" t="str">
        <f>IF($F48="","",IF(NOT(ISNUMBER($G48)),"Hors champ",IF($H48="","À renseigner",IF($J48&lt;0,"Dépassée",IF($J48&lt;=30,"À planifier","À jour")))))</f>
        <v/>
      </c>
    </row>
    <row r="49" spans="6:12" x14ac:dyDescent="0.25">
      <c r="G49" s="5" t="str">
        <f>IF($F49="","",IFERROR(VLOOKUP($F49,'Référentiel VGP'!$A$2:$B$15,2,FALSE),""))</f>
        <v/>
      </c>
      <c r="H49" s="6"/>
      <c r="I49" s="7" t="str">
        <f>IF(OR($H49="",NOT(ISNUMBER($G49))),"",EDATE($H49,$G49))</f>
        <v/>
      </c>
      <c r="J49" s="5" t="str">
        <f>IF($I49="","",$I49-TODAY())</f>
        <v/>
      </c>
      <c r="K49" s="8" t="str">
        <f>IF($F49="","",IF(NOT(ISNUMBER($G49)),"Hors champ",IF($H49="","À renseigner",IF($J49&lt;0,"Dépassée",IF($J49&lt;=30,"À planifier","À jour")))))</f>
        <v/>
      </c>
    </row>
    <row r="50" spans="6:12" x14ac:dyDescent="0.25">
      <c r="G50" s="5" t="str">
        <f>IF($F50="","",IFERROR(VLOOKUP($F50,'Référentiel VGP'!$A$2:$B$15,2,FALSE),""))</f>
        <v/>
      </c>
      <c r="H50" s="6"/>
      <c r="I50" s="7" t="str">
        <f>IF(OR($H50="",NOT(ISNUMBER($G50))),"",EDATE($H50,$G50))</f>
        <v/>
      </c>
      <c r="J50" s="5" t="str">
        <f>IF($I50="","",$I50-TODAY())</f>
        <v/>
      </c>
      <c r="K50" s="8" t="str">
        <f>IF($F50="","",IF(NOT(ISNUMBER($G50)),"Hors champ",IF($H50="","À renseigner",IF($J50&lt;0,"Dépassée",IF($J50&lt;=30,"À planifier","À jour")))))</f>
        <v/>
      </c>
    </row>
    <row r="51" spans="6:12" x14ac:dyDescent="0.25">
      <c r="G51" s="5" t="str">
        <f>IF($F51="","",IFERROR(VLOOKUP($F51,'Référentiel VGP'!$A$2:$B$15,2,FALSE),""))</f>
        <v/>
      </c>
      <c r="H51" s="6"/>
      <c r="I51" s="7" t="str">
        <f>IF(OR($H51="",NOT(ISNUMBER($G51))),"",EDATE($H51,$G51))</f>
        <v/>
      </c>
      <c r="J51" s="5" t="str">
        <f>IF($I51="","",$I51-TODAY())</f>
        <v/>
      </c>
      <c r="K51" s="8" t="str">
        <f>IF($F51="","",IF(NOT(ISNUMBER($G51)),"Hors champ",IF($H51="","À renseigner",IF($J51&lt;0,"Dépassée",IF($J51&lt;=30,"À planifier","À jour")))))</f>
        <v/>
      </c>
    </row>
    <row r="52" spans="6:12" x14ac:dyDescent="0.25">
      <c r="G52" s="5" t="str">
        <f>IF($F52="","",IFERROR(VLOOKUP($F52,'Référentiel VGP'!$A$2:$B$15,2,FALSE),""))</f>
        <v/>
      </c>
      <c r="H52" s="6"/>
      <c r="I52" s="7" t="str">
        <f>IF(OR($H52="",NOT(ISNUMBER($G52))),"",EDATE($H52,$G52))</f>
        <v/>
      </c>
      <c r="J52" s="5" t="str">
        <f>IF($I52="","",$I52-TODAY())</f>
        <v/>
      </c>
      <c r="K52" s="8" t="str">
        <f>IF($F52="","",IF(NOT(ISNUMBER($G52)),"Hors champ",IF($H52="","À renseigner",IF($J52&lt;0,"Dépassée",IF($J52&lt;=30,"À planifier","À jour")))))</f>
        <v/>
      </c>
    </row>
    <row r="53" spans="6:12" x14ac:dyDescent="0.25">
      <c r="G53" s="5" t="str">
        <f>IF($F53="","",IFERROR(VLOOKUP($F53,'Référentiel VGP'!$A$2:$B$15,2,FALSE),""))</f>
        <v/>
      </c>
      <c r="H53" s="6"/>
      <c r="I53" s="7" t="str">
        <f>IF(OR($H53="",NOT(ISNUMBER($G53))),"",EDATE($H53,$G53))</f>
        <v/>
      </c>
      <c r="J53" s="5" t="str">
        <f>IF($I53="","",$I53-TODAY())</f>
        <v/>
      </c>
      <c r="K53" s="8" t="str">
        <f>IF($F53="","",IF(NOT(ISNUMBER($G53)),"Hors champ",IF($H53="","À renseigner",IF($J53&lt;0,"Dépassée",IF($J53&lt;=30,"À planifier","À jour")))))</f>
        <v/>
      </c>
    </row>
    <row r="54" spans="6:12" x14ac:dyDescent="0.25">
      <c r="G54" s="5" t="str">
        <f>IF($F54="","",IFERROR(VLOOKUP($F54,'Référentiel VGP'!$A$2:$B$15,2,FALSE),""))</f>
        <v/>
      </c>
      <c r="H54" s="6"/>
      <c r="I54" s="7" t="str">
        <f>IF(OR($H54="",NOT(ISNUMBER($G54))),"",EDATE($H54,$G54))</f>
        <v/>
      </c>
      <c r="J54" s="5" t="str">
        <f>IF($I54="","",$I54-TODAY())</f>
        <v/>
      </c>
      <c r="K54" s="8" t="str">
        <f>IF($F54="","",IF(NOT(ISNUMBER($G54)),"Hors champ",IF($H54="","À renseigner",IF($J54&lt;0,"Dépassée",IF($J54&lt;=30,"À planifier","À jour")))))</f>
        <v/>
      </c>
    </row>
    <row r="55" spans="6:12" x14ac:dyDescent="0.25">
      <c r="G55" s="5" t="str">
        <f>IF($F55="","",IFERROR(VLOOKUP($F55,'Référentiel VGP'!$A$2:$B$15,2,FALSE),""))</f>
        <v/>
      </c>
      <c r="H55" s="6"/>
      <c r="I55" s="7" t="str">
        <f>IF(OR($H55="",NOT(ISNUMBER($G55))),"",EDATE($H55,$G55))</f>
        <v/>
      </c>
      <c r="J55" s="5" t="str">
        <f>IF($I55="","",$I55-TODAY())</f>
        <v/>
      </c>
      <c r="K55" s="8" t="str">
        <f>IF($F55="","",IF(NOT(ISNUMBER($G55)),"Hors champ",IF($H55="","À renseigner",IF($J55&lt;0,"Dépassée",IF($J55&lt;=30,"À planifier","À jour")))))</f>
        <v/>
      </c>
    </row>
    <row r="56" spans="6:12" x14ac:dyDescent="0.25">
      <c r="G56" s="5" t="str">
        <f>IF($F56="","",IFERROR(VLOOKUP($F56,'Référentiel VGP'!$A$2:$B$15,2,FALSE),""))</f>
        <v/>
      </c>
      <c r="H56" s="6"/>
      <c r="I56" s="7" t="str">
        <f>IF(OR($H56="",NOT(ISNUMBER($G56))),"",EDATE($H56,$G56))</f>
        <v/>
      </c>
      <c r="J56" s="5" t="str">
        <f>IF($I56="","",$I56-TODAY())</f>
        <v/>
      </c>
      <c r="K56" s="8" t="str">
        <f>IF($F56="","",IF(NOT(ISNUMBER($G56)),"Hors champ",IF($H56="","À renseigner",IF($J56&lt;0,"Dépassée",IF($J56&lt;=30,"À planifier","À jour")))))</f>
        <v/>
      </c>
    </row>
    <row r="57" spans="6:12" x14ac:dyDescent="0.25">
      <c r="G57" s="5" t="str">
        <f>IF($F57="","",IFERROR(VLOOKUP($F57,'Référentiel VGP'!$A$2:$B$15,2,FALSE),""))</f>
        <v/>
      </c>
      <c r="H57" s="6"/>
      <c r="I57" s="7" t="str">
        <f>IF(OR($H57="",NOT(ISNUMBER($G57))),"",EDATE($H57,$G57))</f>
        <v/>
      </c>
      <c r="J57" s="5" t="str">
        <f>IF($I57="","",$I57-TODAY())</f>
        <v/>
      </c>
      <c r="K57" s="8" t="str">
        <f>IF($F57="","",IF(NOT(ISNUMBER($G57)),"Hors champ",IF($H57="","À renseigner",IF($J57&lt;0,"Dépassée",IF($J57&lt;=30,"À planifier","À jour")))))</f>
        <v/>
      </c>
    </row>
    <row r="58" spans="6:12" x14ac:dyDescent="0.25">
      <c r="G58" s="5" t="str">
        <f>IF($F58="","",IFERROR(VLOOKUP($F58,'Référentiel VGP'!$A$2:$B$15,2,FALSE),""))</f>
        <v/>
      </c>
      <c r="H58" s="6"/>
      <c r="I58" s="7" t="str">
        <f>IF(OR($H58="",NOT(ISNUMBER($G58))),"",EDATE($H58,$G58))</f>
        <v/>
      </c>
      <c r="J58" s="5" t="str">
        <f>IF($I58="","",$I58-TODAY())</f>
        <v/>
      </c>
      <c r="K58" s="8" t="str">
        <f>IF($F58="","",IF(NOT(ISNUMBER($G58)),"Hors champ",IF($H58="","À renseigner",IF($J58&lt;0,"Dépassée",IF($J58&lt;=30,"À planifier","À jour")))))</f>
        <v/>
      </c>
    </row>
    <row r="59" spans="6:12" x14ac:dyDescent="0.25">
      <c r="G59" s="5" t="str">
        <f>IF($F59="","",IFERROR(VLOOKUP($F59,'Référentiel VGP'!$A$2:$B$15,2,FALSE),""))</f>
        <v/>
      </c>
      <c r="H59" s="6"/>
      <c r="I59" s="7" t="str">
        <f>IF(OR($H59="",NOT(ISNUMBER($G59))),"",EDATE($H59,$G59))</f>
        <v/>
      </c>
      <c r="J59" s="5" t="str">
        <f>IF($I59="","",$I59-TODAY())</f>
        <v/>
      </c>
      <c r="K59" s="8" t="str">
        <f>IF($F59="","",IF(NOT(ISNUMBER($G59)),"Hors champ",IF($H59="","À renseigner",IF($J59&lt;0,"Dépassée",IF($J59&lt;=30,"À planifier","À jour")))))</f>
        <v/>
      </c>
    </row>
    <row r="60" spans="6:12" x14ac:dyDescent="0.25">
      <c r="G60" s="5" t="str">
        <f>IF($F60="","",IFERROR(VLOOKUP($F60,'Référentiel VGP'!$A$2:$B$15,2,FALSE),""))</f>
        <v/>
      </c>
      <c r="H60" s="6"/>
      <c r="I60" s="7" t="str">
        <f>IF(OR($H60="",NOT(ISNUMBER($G60))),"",EDATE($H60,$G60))</f>
        <v/>
      </c>
      <c r="J60" s="5" t="str">
        <f>IF($I60="","",$I60-TODAY())</f>
        <v/>
      </c>
      <c r="K60" s="8" t="str">
        <f>IF($F60="","",IF(NOT(ISNUMBER($G60)),"Hors champ",IF($H60="","À renseigner",IF($J60&lt;0,"Dépassée",IF($J60&lt;=30,"À planifier","À jour")))))</f>
        <v/>
      </c>
    </row>
    <row r="61" spans="6:12" x14ac:dyDescent="0.25">
      <c r="G61" s="5" t="str">
        <f>IF($F61="","",IFERROR(VLOOKUP($F61,'Référentiel VGP'!$A$2:$B$15,2,FALSE),""))</f>
        <v/>
      </c>
      <c r="H61" s="6"/>
      <c r="I61" s="7" t="str">
        <f>IF(OR($H61="",NOT(ISNUMBER($G61))),"",EDATE($H61,$G61))</f>
        <v/>
      </c>
      <c r="J61" s="5" t="str">
        <f>IF($I61="","",$I61-TODAY())</f>
        <v/>
      </c>
      <c r="K61" s="8" t="str">
        <f>IF($F61="","",IF(NOT(ISNUMBER($G61)),"Hors champ",IF($H61="","À renseigner",IF($J61&lt;0,"Dépassée",IF($J61&lt;=30,"À planifier","À jour")))))</f>
        <v/>
      </c>
    </row>
    <row r="62" spans="6:12" x14ac:dyDescent="0.25">
      <c r="G62" s="5" t="str">
        <f>IF($F62="","",IFERROR(VLOOKUP($F62,'Référentiel VGP'!$A$2:$B$15,2,FALSE),""))</f>
        <v/>
      </c>
      <c r="H62" s="6"/>
      <c r="I62" s="7" t="str">
        <f>IF(OR($H62="",NOT(ISNUMBER($G62))),"",EDATE($H62,$G62))</f>
        <v/>
      </c>
      <c r="J62" s="5" t="str">
        <f>IF($I62="","",$I62-TODAY())</f>
        <v/>
      </c>
      <c r="K62" s="8" t="str">
        <f>IF($F62="","",IF(NOT(ISNUMBER($G62)),"Hors champ",IF($H62="","À renseigner",IF($J62&lt;0,"Dépassée",IF($J62&lt;=30,"À planifier","À jour")))))</f>
        <v/>
      </c>
    </row>
    <row r="63" spans="6:12" x14ac:dyDescent="0.25">
      <c r="G63" s="5" t="str">
        <f>IF($F63="","",IFERROR(VLOOKUP($F63,'Référentiel VGP'!$A$2:$B$15,2,FALSE),""))</f>
        <v/>
      </c>
      <c r="H63" s="6"/>
      <c r="I63" s="7" t="str">
        <f>IF(OR($H63="",NOT(ISNUMBER($G63))),"",EDATE($H63,$G63))</f>
        <v/>
      </c>
      <c r="J63" s="5" t="str">
        <f>IF($I63="","",$I63-TODAY())</f>
        <v/>
      </c>
      <c r="K63" s="8" t="str">
        <f>IF($F63="","",IF(NOT(ISNUMBER($G63)),"Hors champ",IF($H63="","À renseigner",IF($J63&lt;0,"Dépassée",IF($J63&lt;=30,"À planifier","À jour")))))</f>
        <v/>
      </c>
    </row>
    <row r="64" spans="6:12" x14ac:dyDescent="0.25">
      <c r="G64" s="5" t="str">
        <f>IF($F64="","",IFERROR(VLOOKUP($F64,'Référentiel VGP'!$A$2:$B$15,2,FALSE),""))</f>
        <v/>
      </c>
      <c r="H64" s="6"/>
      <c r="I64" s="7" t="str">
        <f>IF(OR($H64="",NOT(ISNUMBER($G64))),"",EDATE($H64,$G64))</f>
        <v/>
      </c>
      <c r="J64" s="5" t="str">
        <f>IF($I64="","",$I64-TODAY())</f>
        <v/>
      </c>
      <c r="K64" s="8" t="str">
        <f>IF($F64="","",IF(NOT(ISNUMBER($G64)),"Hors champ",IF($H64="","À renseigner",IF($J64&lt;0,"Dépassée",IF($J64&lt;=30,"À planifier","À jour")))))</f>
        <v/>
      </c>
    </row>
    <row r="65" spans="6:12" x14ac:dyDescent="0.25">
      <c r="G65" s="5" t="str">
        <f>IF($F65="","",IFERROR(VLOOKUP($F65,'Référentiel VGP'!$A$2:$B$15,2,FALSE),""))</f>
        <v/>
      </c>
      <c r="H65" s="6"/>
      <c r="I65" s="7" t="str">
        <f>IF(OR($H65="",NOT(ISNUMBER($G65))),"",EDATE($H65,$G65))</f>
        <v/>
      </c>
      <c r="J65" s="5" t="str">
        <f>IF($I65="","",$I65-TODAY())</f>
        <v/>
      </c>
      <c r="K65" s="8" t="str">
        <f>IF($F65="","",IF(NOT(ISNUMBER($G65)),"Hors champ",IF($H65="","À renseigner",IF($J65&lt;0,"Dépassée",IF($J65&lt;=30,"À planifier","À jour")))))</f>
        <v/>
      </c>
    </row>
    <row r="66" spans="6:12" x14ac:dyDescent="0.25">
      <c r="G66" s="5" t="str">
        <f>IF($F66="","",IFERROR(VLOOKUP($F66,'Référentiel VGP'!$A$2:$B$15,2,FALSE),""))</f>
        <v/>
      </c>
      <c r="H66" s="6"/>
      <c r="I66" s="7" t="str">
        <f>IF(OR($H66="",NOT(ISNUMBER($G66))),"",EDATE($H66,$G66))</f>
        <v/>
      </c>
      <c r="J66" s="5" t="str">
        <f>IF($I66="","",$I66-TODAY())</f>
        <v/>
      </c>
      <c r="K66" s="8" t="str">
        <f>IF($F66="","",IF(NOT(ISNUMBER($G66)),"Hors champ",IF($H66="","À renseigner",IF($J66&lt;0,"Dépassée",IF($J66&lt;=30,"À planifier","À jour")))))</f>
        <v/>
      </c>
    </row>
    <row r="67" spans="6:12" x14ac:dyDescent="0.25">
      <c r="G67" s="5" t="str">
        <f>IF($F67="","",IFERROR(VLOOKUP($F67,'Référentiel VGP'!$A$2:$B$15,2,FALSE),""))</f>
        <v/>
      </c>
      <c r="H67" s="6"/>
      <c r="I67" s="7" t="str">
        <f>IF(OR($H67="",NOT(ISNUMBER($G67))),"",EDATE($H67,$G67))</f>
        <v/>
      </c>
      <c r="J67" s="5" t="str">
        <f>IF($I67="","",$I67-TODAY())</f>
        <v/>
      </c>
      <c r="K67" s="8" t="str">
        <f>IF($F67="","",IF(NOT(ISNUMBER($G67)),"Hors champ",IF($H67="","À renseigner",IF($J67&lt;0,"Dépassée",IF($J67&lt;=30,"À planifier","À jour")))))</f>
        <v/>
      </c>
    </row>
    <row r="68" spans="6:12" x14ac:dyDescent="0.25">
      <c r="G68" s="5" t="str">
        <f>IF($F68="","",IFERROR(VLOOKUP($F68,'Référentiel VGP'!$A$2:$B$15,2,FALSE),""))</f>
        <v/>
      </c>
      <c r="H68" s="6"/>
      <c r="I68" s="7" t="str">
        <f>IF(OR($H68="",NOT(ISNUMBER($G68))),"",EDATE($H68,$G68))</f>
        <v/>
      </c>
      <c r="J68" s="5" t="str">
        <f>IF($I68="","",$I68-TODAY())</f>
        <v/>
      </c>
      <c r="K68" s="8" t="str">
        <f>IF($F68="","",IF(NOT(ISNUMBER($G68)),"Hors champ",IF($H68="","À renseigner",IF($J68&lt;0,"Dépassée",IF($J68&lt;=30,"À planifier","À jour")))))</f>
        <v/>
      </c>
    </row>
    <row r="69" spans="6:12" x14ac:dyDescent="0.25">
      <c r="G69" s="5" t="str">
        <f>IF($F69="","",IFERROR(VLOOKUP($F69,'Référentiel VGP'!$A$2:$B$15,2,FALSE),""))</f>
        <v/>
      </c>
      <c r="H69" s="6"/>
      <c r="I69" s="7" t="str">
        <f>IF(OR($H69="",NOT(ISNUMBER($G69))),"",EDATE($H69,$G69))</f>
        <v/>
      </c>
      <c r="J69" s="5" t="str">
        <f>IF($I69="","",$I69-TODAY())</f>
        <v/>
      </c>
      <c r="K69" s="8" t="str">
        <f>IF($F69="","",IF(NOT(ISNUMBER($G69)),"Hors champ",IF($H69="","À renseigner",IF($J69&lt;0,"Dépassée",IF($J69&lt;=30,"À planifier","À jour")))))</f>
        <v/>
      </c>
    </row>
    <row r="70" spans="6:12" x14ac:dyDescent="0.25">
      <c r="G70" s="5" t="str">
        <f>IF($F70="","",IFERROR(VLOOKUP($F70,'Référentiel VGP'!$A$2:$B$15,2,FALSE),""))</f>
        <v/>
      </c>
      <c r="H70" s="6"/>
      <c r="I70" s="7" t="str">
        <f>IF(OR($H70="",NOT(ISNUMBER($G70))),"",EDATE($H70,$G70))</f>
        <v/>
      </c>
      <c r="J70" s="5" t="str">
        <f>IF($I70="","",$I70-TODAY())</f>
        <v/>
      </c>
      <c r="K70" s="8" t="str">
        <f>IF($F70="","",IF(NOT(ISNUMBER($G70)),"Hors champ",IF($H70="","À renseigner",IF($J70&lt;0,"Dépassée",IF($J70&lt;=30,"À planifier","À jour")))))</f>
        <v/>
      </c>
    </row>
    <row r="71" spans="6:12" x14ac:dyDescent="0.25">
      <c r="G71" s="5" t="str">
        <f>IF($F71="","",IFERROR(VLOOKUP($F71,'Référentiel VGP'!$A$2:$B$15,2,FALSE),""))</f>
        <v/>
      </c>
      <c r="H71" s="6"/>
      <c r="I71" s="7" t="str">
        <f>IF(OR($H71="",NOT(ISNUMBER($G71))),"",EDATE($H71,$G71))</f>
        <v/>
      </c>
      <c r="J71" s="5" t="str">
        <f>IF($I71="","",$I71-TODAY())</f>
        <v/>
      </c>
      <c r="K71" s="8" t="str">
        <f>IF($F71="","",IF(NOT(ISNUMBER($G71)),"Hors champ",IF($H71="","À renseigner",IF($J71&lt;0,"Dépassée",IF($J71&lt;=30,"À planifier","À jour")))))</f>
        <v/>
      </c>
    </row>
    <row r="72" spans="6:12" x14ac:dyDescent="0.25">
      <c r="G72" s="5" t="str">
        <f>IF($F72="","",IFERROR(VLOOKUP($F72,'Référentiel VGP'!$A$2:$B$15,2,FALSE),""))</f>
        <v/>
      </c>
      <c r="H72" s="6"/>
      <c r="I72" s="7" t="str">
        <f>IF(OR($H72="",NOT(ISNUMBER($G72))),"",EDATE($H72,$G72))</f>
        <v/>
      </c>
      <c r="J72" s="5" t="str">
        <f>IF($I72="","",$I72-TODAY())</f>
        <v/>
      </c>
      <c r="K72" s="8" t="str">
        <f>IF($F72="","",IF(NOT(ISNUMBER($G72)),"Hors champ",IF($H72="","À renseigner",IF($J72&lt;0,"Dépassée",IF($J72&lt;=30,"À planifier","À jour")))))</f>
        <v/>
      </c>
    </row>
    <row r="73" spans="6:12" x14ac:dyDescent="0.25">
      <c r="G73" s="5" t="str">
        <f>IF($F73="","",IFERROR(VLOOKUP($F73,'Référentiel VGP'!$A$2:$B$15,2,FALSE),""))</f>
        <v/>
      </c>
      <c r="H73" s="6"/>
      <c r="I73" s="7" t="str">
        <f>IF(OR($H73="",NOT(ISNUMBER($G73))),"",EDATE($H73,$G73))</f>
        <v/>
      </c>
      <c r="J73" s="5" t="str">
        <f>IF($I73="","",$I73-TODAY())</f>
        <v/>
      </c>
      <c r="K73" s="8" t="str">
        <f>IF($F73="","",IF(NOT(ISNUMBER($G73)),"Hors champ",IF($H73="","À renseigner",IF($J73&lt;0,"Dépassée",IF($J73&lt;=30,"À planifier","À jour")))))</f>
        <v/>
      </c>
    </row>
    <row r="74" spans="6:12" x14ac:dyDescent="0.25">
      <c r="G74" s="5" t="str">
        <f>IF($F74="","",IFERROR(VLOOKUP($F74,'Référentiel VGP'!$A$2:$B$15,2,FALSE),""))</f>
        <v/>
      </c>
      <c r="H74" s="6"/>
      <c r="I74" s="7" t="str">
        <f>IF(OR($H74="",NOT(ISNUMBER($G74))),"",EDATE($H74,$G74))</f>
        <v/>
      </c>
      <c r="J74" s="5" t="str">
        <f>IF($I74="","",$I74-TODAY())</f>
        <v/>
      </c>
      <c r="K74" s="8" t="str">
        <f>IF($F74="","",IF(NOT(ISNUMBER($G74)),"Hors champ",IF($H74="","À renseigner",IF($J74&lt;0,"Dépassée",IF($J74&lt;=30,"À planifier","À jour")))))</f>
        <v/>
      </c>
    </row>
    <row r="75" spans="6:12" x14ac:dyDescent="0.25">
      <c r="G75" s="5" t="str">
        <f>IF($F75="","",IFERROR(VLOOKUP($F75,'Référentiel VGP'!$A$2:$B$15,2,FALSE),""))</f>
        <v/>
      </c>
      <c r="H75" s="6"/>
      <c r="I75" s="7" t="str">
        <f>IF(OR($H75="",NOT(ISNUMBER($G75))),"",EDATE($H75,$G75))</f>
        <v/>
      </c>
      <c r="J75" s="5" t="str">
        <f>IF($I75="","",$I75-TODAY())</f>
        <v/>
      </c>
      <c r="K75" s="8" t="str">
        <f>IF($F75="","",IF(NOT(ISNUMBER($G75)),"Hors champ",IF($H75="","À renseigner",IF($J75&lt;0,"Dépassée",IF($J75&lt;=30,"À planifier","À jour")))))</f>
        <v/>
      </c>
    </row>
    <row r="76" spans="6:12" x14ac:dyDescent="0.25">
      <c r="G76" s="5" t="str">
        <f>IF($F76="","",IFERROR(VLOOKUP($F76,'Référentiel VGP'!$A$2:$B$15,2,FALSE),""))</f>
        <v/>
      </c>
      <c r="H76" s="6"/>
      <c r="I76" s="7" t="str">
        <f>IF(OR($H76="",NOT(ISNUMBER($G76))),"",EDATE($H76,$G76))</f>
        <v/>
      </c>
      <c r="J76" s="5" t="str">
        <f>IF($I76="","",$I76-TODAY())</f>
        <v/>
      </c>
      <c r="K76" s="8" t="str">
        <f>IF($F76="","",IF(NOT(ISNUMBER($G76)),"Hors champ",IF($H76="","À renseigner",IF($J76&lt;0,"Dépassée",IF($J76&lt;=30,"À planifier","À jour")))))</f>
        <v/>
      </c>
    </row>
    <row r="77" spans="6:12" x14ac:dyDescent="0.25">
      <c r="G77" s="5" t="str">
        <f>IF($F77="","",IFERROR(VLOOKUP($F77,'Référentiel VGP'!$A$2:$B$15,2,FALSE),""))</f>
        <v/>
      </c>
      <c r="H77" s="6"/>
      <c r="I77" s="7" t="str">
        <f>IF(OR($H77="",NOT(ISNUMBER($G77))),"",EDATE($H77,$G77))</f>
        <v/>
      </c>
      <c r="J77" s="5" t="str">
        <f>IF($I77="","",$I77-TODAY())</f>
        <v/>
      </c>
      <c r="K77" s="8" t="str">
        <f>IF($F77="","",IF(NOT(ISNUMBER($G77)),"Hors champ",IF($H77="","À renseigner",IF($J77&lt;0,"Dépassée",IF($J77&lt;=30,"À planifier","À jour")))))</f>
        <v/>
      </c>
    </row>
    <row r="78" spans="6:12" x14ac:dyDescent="0.25">
      <c r="G78" s="5" t="str">
        <f>IF($F78="","",IFERROR(VLOOKUP($F78,'Référentiel VGP'!$A$2:$B$15,2,FALSE),""))</f>
        <v/>
      </c>
      <c r="H78" s="6"/>
      <c r="I78" s="7" t="str">
        <f>IF(OR($H78="",NOT(ISNUMBER($G78))),"",EDATE($H78,$G78))</f>
        <v/>
      </c>
      <c r="J78" s="5" t="str">
        <f>IF($I78="","",$I78-TODAY())</f>
        <v/>
      </c>
      <c r="K78" s="8" t="str">
        <f>IF($F78="","",IF(NOT(ISNUMBER($G78)),"Hors champ",IF($H78="","À renseigner",IF($J78&lt;0,"Dépassée",IF($J78&lt;=30,"À planifier","À jour")))))</f>
        <v/>
      </c>
    </row>
    <row r="79" spans="6:12" x14ac:dyDescent="0.25">
      <c r="G79" s="5" t="str">
        <f>IF($F79="","",IFERROR(VLOOKUP($F79,'Référentiel VGP'!$A$2:$B$15,2,FALSE),""))</f>
        <v/>
      </c>
      <c r="H79" s="6"/>
      <c r="I79" s="7" t="str">
        <f>IF(OR($H79="",NOT(ISNUMBER($G79))),"",EDATE($H79,$G79))</f>
        <v/>
      </c>
      <c r="J79" s="5" t="str">
        <f>IF($I79="","",$I79-TODAY())</f>
        <v/>
      </c>
      <c r="K79" s="8" t="str">
        <f>IF($F79="","",IF(NOT(ISNUMBER($G79)),"Hors champ",IF($H79="","À renseigner",IF($J79&lt;0,"Dépassée",IF($J79&lt;=30,"À planifier","À jour")))))</f>
        <v/>
      </c>
    </row>
    <row r="80" spans="6:12" x14ac:dyDescent="0.25">
      <c r="G80" s="5" t="str">
        <f>IF($F80="","",IFERROR(VLOOKUP($F80,'Référentiel VGP'!$A$2:$B$15,2,FALSE),""))</f>
        <v/>
      </c>
      <c r="H80" s="6"/>
      <c r="I80" s="7" t="str">
        <f>IF(OR($H80="",NOT(ISNUMBER($G80))),"",EDATE($H80,$G80))</f>
        <v/>
      </c>
      <c r="J80" s="5" t="str">
        <f>IF($I80="","",$I80-TODAY())</f>
        <v/>
      </c>
      <c r="K80" s="8" t="str">
        <f>IF($F80="","",IF(NOT(ISNUMBER($G80)),"Hors champ",IF($H80="","À renseigner",IF($J80&lt;0,"Dépassée",IF($J80&lt;=30,"À planifier","À jour")))))</f>
        <v/>
      </c>
    </row>
    <row r="81" spans="6:12" x14ac:dyDescent="0.25">
      <c r="G81" s="5" t="str">
        <f>IF($F81="","",IFERROR(VLOOKUP($F81,'Référentiel VGP'!$A$2:$B$15,2,FALSE),""))</f>
        <v/>
      </c>
      <c r="H81" s="6"/>
      <c r="I81" s="7" t="str">
        <f>IF(OR($H81="",NOT(ISNUMBER($G81))),"",EDATE($H81,$G81))</f>
        <v/>
      </c>
      <c r="J81" s="5" t="str">
        <f>IF($I81="","",$I81-TODAY())</f>
        <v/>
      </c>
      <c r="K81" s="8" t="str">
        <f>IF($F81="","",IF(NOT(ISNUMBER($G81)),"Hors champ",IF($H81="","À renseigner",IF($J81&lt;0,"Dépassée",IF($J81&lt;=30,"À planifier","À jour")))))</f>
        <v/>
      </c>
    </row>
    <row r="82" spans="6:12" x14ac:dyDescent="0.25">
      <c r="G82" s="5" t="str">
        <f>IF($F82="","",IFERROR(VLOOKUP($F82,'Référentiel VGP'!$A$2:$B$15,2,FALSE),""))</f>
        <v/>
      </c>
      <c r="H82" s="6"/>
      <c r="I82" s="7" t="str">
        <f>IF(OR($H82="",NOT(ISNUMBER($G82))),"",EDATE($H82,$G82))</f>
        <v/>
      </c>
      <c r="J82" s="5" t="str">
        <f>IF($I82="","",$I82-TODAY())</f>
        <v/>
      </c>
      <c r="K82" s="8" t="str">
        <f>IF($F82="","",IF(NOT(ISNUMBER($G82)),"Hors champ",IF($H82="","À renseigner",IF($J82&lt;0,"Dépassée",IF($J82&lt;=30,"À planifier","À jour")))))</f>
        <v/>
      </c>
    </row>
    <row r="83" spans="6:12" x14ac:dyDescent="0.25">
      <c r="G83" s="5" t="str">
        <f>IF($F83="","",IFERROR(VLOOKUP($F83,'Référentiel VGP'!$A$2:$B$15,2,FALSE),""))</f>
        <v/>
      </c>
      <c r="H83" s="6"/>
      <c r="I83" s="7" t="str">
        <f>IF(OR($H83="",NOT(ISNUMBER($G83))),"",EDATE($H83,$G83))</f>
        <v/>
      </c>
      <c r="J83" s="5" t="str">
        <f>IF($I83="","",$I83-TODAY())</f>
        <v/>
      </c>
      <c r="K83" s="8" t="str">
        <f>IF($F83="","",IF(NOT(ISNUMBER($G83)),"Hors champ",IF($H83="","À renseigner",IF($J83&lt;0,"Dépassée",IF($J83&lt;=30,"À planifier","À jour")))))</f>
        <v/>
      </c>
    </row>
    <row r="84" spans="6:12" x14ac:dyDescent="0.25">
      <c r="G84" s="5" t="str">
        <f>IF($F84="","",IFERROR(VLOOKUP($F84,'Référentiel VGP'!$A$2:$B$15,2,FALSE),""))</f>
        <v/>
      </c>
      <c r="H84" s="6"/>
      <c r="I84" s="7" t="str">
        <f>IF(OR($H84="",NOT(ISNUMBER($G84))),"",EDATE($H84,$G84))</f>
        <v/>
      </c>
      <c r="J84" s="5" t="str">
        <f>IF($I84="","",$I84-TODAY())</f>
        <v/>
      </c>
      <c r="K84" s="8" t="str">
        <f>IF($F84="","",IF(NOT(ISNUMBER($G84)),"Hors champ",IF($H84="","À renseigner",IF($J84&lt;0,"Dépassée",IF($J84&lt;=30,"À planifier","À jour")))))</f>
        <v/>
      </c>
    </row>
    <row r="85" spans="6:12" x14ac:dyDescent="0.25">
      <c r="G85" s="5" t="str">
        <f>IF($F85="","",IFERROR(VLOOKUP($F85,'Référentiel VGP'!$A$2:$B$15,2,FALSE),""))</f>
        <v/>
      </c>
      <c r="H85" s="6"/>
      <c r="I85" s="7" t="str">
        <f>IF(OR($H85="",NOT(ISNUMBER($G85))),"",EDATE($H85,$G85))</f>
        <v/>
      </c>
      <c r="J85" s="5" t="str">
        <f>IF($I85="","",$I85-TODAY())</f>
        <v/>
      </c>
      <c r="K85" s="8" t="str">
        <f>IF($F85="","",IF(NOT(ISNUMBER($G85)),"Hors champ",IF($H85="","À renseigner",IF($J85&lt;0,"Dépassée",IF($J85&lt;=30,"À planifier","À jour")))))</f>
        <v/>
      </c>
    </row>
    <row r="86" spans="6:12" x14ac:dyDescent="0.25">
      <c r="G86" s="5" t="str">
        <f>IF($F86="","",IFERROR(VLOOKUP($F86,'Référentiel VGP'!$A$2:$B$15,2,FALSE),""))</f>
        <v/>
      </c>
      <c r="H86" s="6"/>
      <c r="I86" s="7" t="str">
        <f>IF(OR($H86="",NOT(ISNUMBER($G86))),"",EDATE($H86,$G86))</f>
        <v/>
      </c>
      <c r="J86" s="5" t="str">
        <f>IF($I86="","",$I86-TODAY())</f>
        <v/>
      </c>
      <c r="K86" s="8" t="str">
        <f>IF($F86="","",IF(NOT(ISNUMBER($G86)),"Hors champ",IF($H86="","À renseigner",IF($J86&lt;0,"Dépassée",IF($J86&lt;=30,"À planifier","À jour")))))</f>
        <v/>
      </c>
    </row>
    <row r="87" spans="6:12" x14ac:dyDescent="0.25">
      <c r="G87" s="5" t="str">
        <f>IF($F87="","",IFERROR(VLOOKUP($F87,'Référentiel VGP'!$A$2:$B$15,2,FALSE),""))</f>
        <v/>
      </c>
      <c r="H87" s="6"/>
      <c r="I87" s="7" t="str">
        <f>IF(OR($H87="",NOT(ISNUMBER($G87))),"",EDATE($H87,$G87))</f>
        <v/>
      </c>
      <c r="J87" s="5" t="str">
        <f>IF($I87="","",$I87-TODAY())</f>
        <v/>
      </c>
      <c r="K87" s="8" t="str">
        <f>IF($F87="","",IF(NOT(ISNUMBER($G87)),"Hors champ",IF($H87="","À renseigner",IF($J87&lt;0,"Dépassée",IF($J87&lt;=30,"À planifier","À jour")))))</f>
        <v/>
      </c>
    </row>
    <row r="88" spans="6:12" x14ac:dyDescent="0.25">
      <c r="G88" s="5" t="str">
        <f>IF($F88="","",IFERROR(VLOOKUP($F88,'Référentiel VGP'!$A$2:$B$15,2,FALSE),""))</f>
        <v/>
      </c>
      <c r="H88" s="6"/>
      <c r="I88" s="7" t="str">
        <f>IF(OR($H88="",NOT(ISNUMBER($G88))),"",EDATE($H88,$G88))</f>
        <v/>
      </c>
      <c r="J88" s="5" t="str">
        <f>IF($I88="","",$I88-TODAY())</f>
        <v/>
      </c>
      <c r="K88" s="8" t="str">
        <f>IF($F88="","",IF(NOT(ISNUMBER($G88)),"Hors champ",IF($H88="","À renseigner",IF($J88&lt;0,"Dépassée",IF($J88&lt;=30,"À planifier","À jour")))))</f>
        <v/>
      </c>
    </row>
    <row r="89" spans="6:12" x14ac:dyDescent="0.25">
      <c r="G89" s="5" t="str">
        <f>IF($F89="","",IFERROR(VLOOKUP($F89,'Référentiel VGP'!$A$2:$B$15,2,FALSE),""))</f>
        <v/>
      </c>
      <c r="H89" s="6"/>
      <c r="I89" s="7" t="str">
        <f>IF(OR($H89="",NOT(ISNUMBER($G89))),"",EDATE($H89,$G89))</f>
        <v/>
      </c>
      <c r="J89" s="5" t="str">
        <f>IF($I89="","",$I89-TODAY())</f>
        <v/>
      </c>
      <c r="K89" s="8" t="str">
        <f>IF($F89="","",IF(NOT(ISNUMBER($G89)),"Hors champ",IF($H89="","À renseigner",IF($J89&lt;0,"Dépassée",IF($J89&lt;=30,"À planifier","À jour")))))</f>
        <v/>
      </c>
    </row>
    <row r="90" spans="6:12" x14ac:dyDescent="0.25">
      <c r="G90" s="5" t="str">
        <f>IF($F90="","",IFERROR(VLOOKUP($F90,'Référentiel VGP'!$A$2:$B$15,2,FALSE),""))</f>
        <v/>
      </c>
      <c r="H90" s="6"/>
      <c r="I90" s="7" t="str">
        <f>IF(OR($H90="",NOT(ISNUMBER($G90))),"",EDATE($H90,$G90))</f>
        <v/>
      </c>
      <c r="J90" s="5" t="str">
        <f>IF($I90="","",$I90-TODAY())</f>
        <v/>
      </c>
      <c r="K90" s="8" t="str">
        <f>IF($F90="","",IF(NOT(ISNUMBER($G90)),"Hors champ",IF($H90="","À renseigner",IF($J90&lt;0,"Dépassée",IF($J90&lt;=30,"À planifier","À jour")))))</f>
        <v/>
      </c>
    </row>
    <row r="91" spans="6:12" x14ac:dyDescent="0.25">
      <c r="G91" s="5" t="str">
        <f>IF($F91="","",IFERROR(VLOOKUP($F91,'Référentiel VGP'!$A$2:$B$15,2,FALSE),""))</f>
        <v/>
      </c>
      <c r="H91" s="6"/>
      <c r="I91" s="7" t="str">
        <f>IF(OR($H91="",NOT(ISNUMBER($G91))),"",EDATE($H91,$G91))</f>
        <v/>
      </c>
      <c r="J91" s="5" t="str">
        <f>IF($I91="","",$I91-TODAY())</f>
        <v/>
      </c>
      <c r="K91" s="8" t="str">
        <f>IF($F91="","",IF(NOT(ISNUMBER($G91)),"Hors champ",IF($H91="","À renseigner",IF($J91&lt;0,"Dépassée",IF($J91&lt;=30,"À planifier","À jour")))))</f>
        <v/>
      </c>
    </row>
    <row r="92" spans="6:12" x14ac:dyDescent="0.25">
      <c r="G92" s="5" t="str">
        <f>IF($F92="","",IFERROR(VLOOKUP($F92,'Référentiel VGP'!$A$2:$B$15,2,FALSE),""))</f>
        <v/>
      </c>
      <c r="H92" s="6"/>
      <c r="I92" s="7" t="str">
        <f>IF(OR($H92="",NOT(ISNUMBER($G92))),"",EDATE($H92,$G92))</f>
        <v/>
      </c>
      <c r="J92" s="5" t="str">
        <f>IF($I92="","",$I92-TODAY())</f>
        <v/>
      </c>
      <c r="K92" s="8" t="str">
        <f>IF($F92="","",IF(NOT(ISNUMBER($G92)),"Hors champ",IF($H92="","À renseigner",IF($J92&lt;0,"Dépassée",IF($J92&lt;=30,"À planifier","À jour")))))</f>
        <v/>
      </c>
    </row>
    <row r="93" spans="6:12" x14ac:dyDescent="0.25">
      <c r="G93" s="5" t="str">
        <f>IF($F93="","",IFERROR(VLOOKUP($F93,'Référentiel VGP'!$A$2:$B$15,2,FALSE),""))</f>
        <v/>
      </c>
      <c r="H93" s="6"/>
      <c r="I93" s="7" t="str">
        <f>IF(OR($H93="",NOT(ISNUMBER($G93))),"",EDATE($H93,$G93))</f>
        <v/>
      </c>
      <c r="J93" s="5" t="str">
        <f>IF($I93="","",$I93-TODAY())</f>
        <v/>
      </c>
      <c r="K93" s="8" t="str">
        <f>IF($F93="","",IF(NOT(ISNUMBER($G93)),"Hors champ",IF($H93="","À renseigner",IF($J93&lt;0,"Dépassée",IF($J93&lt;=30,"À planifier","À jour")))))</f>
        <v/>
      </c>
    </row>
    <row r="94" spans="6:12" x14ac:dyDescent="0.25">
      <c r="G94" s="5" t="str">
        <f>IF($F94="","",IFERROR(VLOOKUP($F94,'Référentiel VGP'!$A$2:$B$15,2,FALSE),""))</f>
        <v/>
      </c>
      <c r="H94" s="6"/>
      <c r="I94" s="7" t="str">
        <f>IF(OR($H94="",NOT(ISNUMBER($G94))),"",EDATE($H94,$G94))</f>
        <v/>
      </c>
      <c r="J94" s="5" t="str">
        <f>IF($I94="","",$I94-TODAY())</f>
        <v/>
      </c>
      <c r="K94" s="8" t="str">
        <f>IF($F94="","",IF(NOT(ISNUMBER($G94)),"Hors champ",IF($H94="","À renseigner",IF($J94&lt;0,"Dépassée",IF($J94&lt;=30,"À planifier","À jour")))))</f>
        <v/>
      </c>
    </row>
    <row r="95" spans="6:12" x14ac:dyDescent="0.25">
      <c r="G95" s="5" t="str">
        <f>IF($F95="","",IFERROR(VLOOKUP($F95,'Référentiel VGP'!$A$2:$B$15,2,FALSE),""))</f>
        <v/>
      </c>
      <c r="H95" s="6"/>
      <c r="I95" s="7" t="str">
        <f>IF(OR($H95="",NOT(ISNUMBER($G95))),"",EDATE($H95,$G95))</f>
        <v/>
      </c>
      <c r="J95" s="5" t="str">
        <f>IF($I95="","",$I95-TODAY())</f>
        <v/>
      </c>
      <c r="K95" s="8" t="str">
        <f>IF($F95="","",IF(NOT(ISNUMBER($G95)),"Hors champ",IF($H95="","À renseigner",IF($J95&lt;0,"Dépassée",IF($J95&lt;=30,"À planifier","À jour")))))</f>
        <v/>
      </c>
    </row>
    <row r="96" spans="6:12" x14ac:dyDescent="0.25">
      <c r="G96" s="5" t="str">
        <f>IF($F96="","",IFERROR(VLOOKUP($F96,'Référentiel VGP'!$A$2:$B$15,2,FALSE),""))</f>
        <v/>
      </c>
      <c r="H96" s="6"/>
      <c r="I96" s="7" t="str">
        <f>IF(OR($H96="",NOT(ISNUMBER($G96))),"",EDATE($H96,$G96))</f>
        <v/>
      </c>
      <c r="J96" s="5" t="str">
        <f>IF($I96="","",$I96-TODAY())</f>
        <v/>
      </c>
      <c r="K96" s="8" t="str">
        <f>IF($F96="","",IF(NOT(ISNUMBER($G96)),"Hors champ",IF($H96="","À renseigner",IF($J96&lt;0,"Dépassée",IF($J96&lt;=30,"À planifier","À jour")))))</f>
        <v/>
      </c>
    </row>
    <row r="97" spans="6:12" x14ac:dyDescent="0.25">
      <c r="G97" s="5" t="str">
        <f>IF($F97="","",IFERROR(VLOOKUP($F97,'Référentiel VGP'!$A$2:$B$15,2,FALSE),""))</f>
        <v/>
      </c>
      <c r="H97" s="6"/>
      <c r="I97" s="7" t="str">
        <f>IF(OR($H97="",NOT(ISNUMBER($G97))),"",EDATE($H97,$G97))</f>
        <v/>
      </c>
      <c r="J97" s="5" t="str">
        <f>IF($I97="","",$I97-TODAY())</f>
        <v/>
      </c>
      <c r="K97" s="8" t="str">
        <f>IF($F97="","",IF(NOT(ISNUMBER($G97)),"Hors champ",IF($H97="","À renseigner",IF($J97&lt;0,"Dépassée",IF($J97&lt;=30,"À planifier","À jour")))))</f>
        <v/>
      </c>
    </row>
    <row r="98" spans="6:12" x14ac:dyDescent="0.25">
      <c r="G98" s="5" t="str">
        <f>IF($F98="","",IFERROR(VLOOKUP($F98,'Référentiel VGP'!$A$2:$B$15,2,FALSE),""))</f>
        <v/>
      </c>
      <c r="H98" s="6"/>
      <c r="I98" s="7" t="str">
        <f>IF(OR($H98="",NOT(ISNUMBER($G98))),"",EDATE($H98,$G98))</f>
        <v/>
      </c>
      <c r="J98" s="5" t="str">
        <f>IF($I98="","",$I98-TODAY())</f>
        <v/>
      </c>
      <c r="K98" s="8" t="str">
        <f>IF($F98="","",IF(NOT(ISNUMBER($G98)),"Hors champ",IF($H98="","À renseigner",IF($J98&lt;0,"Dépassée",IF($J98&lt;=30,"À planifier","À jour")))))</f>
        <v/>
      </c>
    </row>
    <row r="99" spans="6:12" x14ac:dyDescent="0.25">
      <c r="G99" s="5" t="str">
        <f>IF($F99="","",IFERROR(VLOOKUP($F99,'Référentiel VGP'!$A$2:$B$15,2,FALSE),""))</f>
        <v/>
      </c>
      <c r="H99" s="6"/>
      <c r="I99" s="7" t="str">
        <f>IF(OR($H99="",NOT(ISNUMBER($G99))),"",EDATE($H99,$G99))</f>
        <v/>
      </c>
      <c r="J99" s="5" t="str">
        <f>IF($I99="","",$I99-TODAY())</f>
        <v/>
      </c>
      <c r="K99" s="8" t="str">
        <f>IF($F99="","",IF(NOT(ISNUMBER($G99)),"Hors champ",IF($H99="","À renseigner",IF($J99&lt;0,"Dépassée",IF($J99&lt;=30,"À planifier","À jour")))))</f>
        <v/>
      </c>
    </row>
    <row r="100" spans="6:12" x14ac:dyDescent="0.25">
      <c r="G100" s="5" t="str">
        <f>IF($F100="","",IFERROR(VLOOKUP($F100,'Référentiel VGP'!$A$2:$B$15,2,FALSE),""))</f>
        <v/>
      </c>
      <c r="H100" s="6"/>
      <c r="I100" s="7" t="str">
        <f>IF(OR($H100="",NOT(ISNUMBER($G100))),"",EDATE($H100,$G100))</f>
        <v/>
      </c>
      <c r="J100" s="5" t="str">
        <f>IF($I100="","",$I100-TODAY())</f>
        <v/>
      </c>
      <c r="K100" s="8" t="str">
        <f>IF($F100="","",IF(NOT(ISNUMBER($G100)),"Hors champ",IF($H100="","À renseigner",IF($J100&lt;0,"Dépassée",IF($J100&lt;=30,"À planifier","À jour")))))</f>
        <v/>
      </c>
    </row>
    <row r="101" spans="6:12" x14ac:dyDescent="0.25">
      <c r="G101" s="5" t="str">
        <f>IF($F101="","",IFERROR(VLOOKUP($F101,'Référentiel VGP'!$A$2:$B$15,2,FALSE),""))</f>
        <v/>
      </c>
      <c r="H101" s="6"/>
      <c r="I101" s="7" t="str">
        <f>IF(OR($H101="",NOT(ISNUMBER($G101))),"",EDATE($H101,$G101))</f>
        <v/>
      </c>
      <c r="J101" s="5" t="str">
        <f>IF($I101="","",$I101-TODAY())</f>
        <v/>
      </c>
      <c r="K101" s="8" t="str">
        <f>IF($F101="","",IF(NOT(ISNUMBER($G101)),"Hors champ",IF($H101="","À renseigner",IF($J101&lt;0,"Dépassée",IF($J101&lt;=30,"À planifier","À jour")))))</f>
        <v/>
      </c>
    </row>
    <row r="102" spans="6:12" x14ac:dyDescent="0.25">
      <c r="G102" s="5" t="str">
        <f>IF($F102="","",IFERROR(VLOOKUP($F102,'Référentiel VGP'!$A$2:$B$15,2,FALSE),""))</f>
        <v/>
      </c>
      <c r="H102" s="6"/>
      <c r="I102" s="7" t="str">
        <f>IF(OR($H102="",NOT(ISNUMBER($G102))),"",EDATE($H102,$G102))</f>
        <v/>
      </c>
      <c r="J102" s="5" t="str">
        <f>IF($I102="","",$I102-TODAY())</f>
        <v/>
      </c>
      <c r="K102" s="8" t="str">
        <f>IF($F102="","",IF(NOT(ISNUMBER($G102)),"Hors champ",IF($H102="","À renseigner",IF($J102&lt;0,"Dépassée",IF($J102&lt;=30,"À planifier","À jour")))))</f>
        <v/>
      </c>
    </row>
    <row r="103" spans="6:12" x14ac:dyDescent="0.25">
      <c r="G103" s="5" t="str">
        <f>IF($F103="","",IFERROR(VLOOKUP($F103,'Référentiel VGP'!$A$2:$B$15,2,FALSE),""))</f>
        <v/>
      </c>
      <c r="H103" s="6"/>
      <c r="I103" s="7" t="str">
        <f>IF(OR($H103="",NOT(ISNUMBER($G103))),"",EDATE($H103,$G103))</f>
        <v/>
      </c>
      <c r="J103" s="5" t="str">
        <f>IF($I103="","",$I103-TODAY())</f>
        <v/>
      </c>
      <c r="K103" s="8" t="str">
        <f>IF($F103="","",IF(NOT(ISNUMBER($G103)),"Hors champ",IF($H103="","À renseigner",IF($J103&lt;0,"Dépassée",IF($J103&lt;=30,"À planifier","À jour")))))</f>
        <v/>
      </c>
    </row>
    <row r="104" spans="6:12" x14ac:dyDescent="0.25">
      <c r="G104" s="5" t="str">
        <f>IF($F104="","",IFERROR(VLOOKUP($F104,'Référentiel VGP'!$A$2:$B$15,2,FALSE),""))</f>
        <v/>
      </c>
      <c r="H104" s="6"/>
      <c r="I104" s="7" t="str">
        <f>IF(OR($H104="",NOT(ISNUMBER($G104))),"",EDATE($H104,$G104))</f>
        <v/>
      </c>
      <c r="J104" s="5" t="str">
        <f>IF($I104="","",$I104-TODAY())</f>
        <v/>
      </c>
      <c r="K104" s="8" t="str">
        <f>IF($F104="","",IF(NOT(ISNUMBER($G104)),"Hors champ",IF($H104="","À renseigner",IF($J104&lt;0,"Dépassée",IF($J104&lt;=30,"À planifier","À jour")))))</f>
        <v/>
      </c>
    </row>
    <row r="105" spans="6:12" x14ac:dyDescent="0.25">
      <c r="G105" s="5" t="str">
        <f>IF($F105="","",IFERROR(VLOOKUP($F105,'Référentiel VGP'!$A$2:$B$15,2,FALSE),""))</f>
        <v/>
      </c>
      <c r="H105" s="6"/>
      <c r="I105" s="7" t="str">
        <f>IF(OR($H105="",NOT(ISNUMBER($G105))),"",EDATE($H105,$G105))</f>
        <v/>
      </c>
      <c r="J105" s="5" t="str">
        <f>IF($I105="","",$I105-TODAY())</f>
        <v/>
      </c>
      <c r="K105" s="8" t="str">
        <f>IF($F105="","",IF(NOT(ISNUMBER($G105)),"Hors champ",IF($H105="","À renseigner",IF($J105&lt;0,"Dépassée",IF($J105&lt;=30,"À planifier","À jour")))))</f>
        <v/>
      </c>
    </row>
    <row r="106" spans="6:12" x14ac:dyDescent="0.25">
      <c r="G106" s="5" t="str">
        <f>IF($F106="","",IFERROR(VLOOKUP($F106,'Référentiel VGP'!$A$2:$B$15,2,FALSE),""))</f>
        <v/>
      </c>
      <c r="H106" s="6"/>
      <c r="I106" s="7" t="str">
        <f>IF(OR($H106="",NOT(ISNUMBER($G106))),"",EDATE($H106,$G106))</f>
        <v/>
      </c>
      <c r="J106" s="5" t="str">
        <f>IF($I106="","",$I106-TODAY())</f>
        <v/>
      </c>
      <c r="K106" s="8" t="str">
        <f>IF($F106="","",IF(NOT(ISNUMBER($G106)),"Hors champ",IF($H106="","À renseigner",IF($J106&lt;0,"Dépassée",IF($J106&lt;=30,"À planifier","À jour")))))</f>
        <v/>
      </c>
    </row>
    <row r="107" spans="6:12" x14ac:dyDescent="0.25">
      <c r="G107" s="5" t="str">
        <f>IF($F107="","",IFERROR(VLOOKUP($F107,'Référentiel VGP'!$A$2:$B$15,2,FALSE),""))</f>
        <v/>
      </c>
      <c r="H107" s="6"/>
      <c r="I107" s="7" t="str">
        <f>IF(OR($H107="",NOT(ISNUMBER($G107))),"",EDATE($H107,$G107))</f>
        <v/>
      </c>
      <c r="J107" s="5" t="str">
        <f>IF($I107="","",$I107-TODAY())</f>
        <v/>
      </c>
      <c r="K107" s="8" t="str">
        <f>IF($F107="","",IF(NOT(ISNUMBER($G107)),"Hors champ",IF($H107="","À renseigner",IF($J107&lt;0,"Dépassée",IF($J107&lt;=30,"À planifier","À jour")))))</f>
        <v/>
      </c>
    </row>
    <row r="108" spans="6:12" x14ac:dyDescent="0.25">
      <c r="G108" s="5" t="str">
        <f>IF($F108="","",IFERROR(VLOOKUP($F108,'Référentiel VGP'!$A$2:$B$15,2,FALSE),""))</f>
        <v/>
      </c>
      <c r="H108" s="6"/>
      <c r="I108" s="7" t="str">
        <f>IF(OR($H108="",NOT(ISNUMBER($G108))),"",EDATE($H108,$G108))</f>
        <v/>
      </c>
      <c r="J108" s="5" t="str">
        <f>IF($I108="","",$I108-TODAY())</f>
        <v/>
      </c>
      <c r="K108" s="8" t="str">
        <f>IF($F108="","",IF(NOT(ISNUMBER($G108)),"Hors champ",IF($H108="","À renseigner",IF($J108&lt;0,"Dépassée",IF($J108&lt;=30,"À planifier","À jour")))))</f>
        <v/>
      </c>
    </row>
    <row r="109" spans="6:12" x14ac:dyDescent="0.25">
      <c r="G109" s="5" t="str">
        <f>IF($F109="","",IFERROR(VLOOKUP($F109,'Référentiel VGP'!$A$2:$B$15,2,FALSE),""))</f>
        <v/>
      </c>
      <c r="H109" s="6"/>
      <c r="I109" s="7" t="str">
        <f>IF(OR($H109="",NOT(ISNUMBER($G109))),"",EDATE($H109,$G109))</f>
        <v/>
      </c>
      <c r="J109" s="5" t="str">
        <f>IF($I109="","",$I109-TODAY())</f>
        <v/>
      </c>
      <c r="K109" s="8" t="str">
        <f>IF($F109="","",IF(NOT(ISNUMBER($G109)),"Hors champ",IF($H109="","À renseigner",IF($J109&lt;0,"Dépassée",IF($J109&lt;=30,"À planifier","À jour")))))</f>
        <v/>
      </c>
    </row>
    <row r="110" spans="6:12" x14ac:dyDescent="0.25">
      <c r="G110" s="5" t="str">
        <f>IF($F110="","",IFERROR(VLOOKUP($F110,'Référentiel VGP'!$A$2:$B$15,2,FALSE),""))</f>
        <v/>
      </c>
      <c r="H110" s="6"/>
      <c r="I110" s="7" t="str">
        <f>IF(OR($H110="",NOT(ISNUMBER($G110))),"",EDATE($H110,$G110))</f>
        <v/>
      </c>
      <c r="J110" s="5" t="str">
        <f>IF($I110="","",$I110-TODAY())</f>
        <v/>
      </c>
      <c r="K110" s="8" t="str">
        <f>IF($F110="","",IF(NOT(ISNUMBER($G110)),"Hors champ",IF($H110="","À renseigner",IF($J110&lt;0,"Dépassée",IF($J110&lt;=30,"À planifier","À jour")))))</f>
        <v/>
      </c>
    </row>
    <row r="111" spans="6:12" x14ac:dyDescent="0.25">
      <c r="G111" s="5" t="str">
        <f>IF($F111="","",IFERROR(VLOOKUP($F111,'Référentiel VGP'!$A$2:$B$15,2,FALSE),""))</f>
        <v/>
      </c>
      <c r="H111" s="6"/>
      <c r="I111" s="7" t="str">
        <f>IF(OR($H111="",NOT(ISNUMBER($G111))),"",EDATE($H111,$G111))</f>
        <v/>
      </c>
      <c r="J111" s="5" t="str">
        <f>IF($I111="","",$I111-TODAY())</f>
        <v/>
      </c>
      <c r="K111" s="8" t="str">
        <f>IF($F111="","",IF(NOT(ISNUMBER($G111)),"Hors champ",IF($H111="","À renseigner",IF($J111&lt;0,"Dépassée",IF($J111&lt;=30,"À planifier","À jour")))))</f>
        <v/>
      </c>
    </row>
    <row r="112" spans="6:12" x14ac:dyDescent="0.25">
      <c r="G112" s="5" t="str">
        <f>IF($F112="","",IFERROR(VLOOKUP($F112,'Référentiel VGP'!$A$2:$B$15,2,FALSE),""))</f>
        <v/>
      </c>
      <c r="H112" s="6"/>
      <c r="I112" s="7" t="str">
        <f>IF(OR($H112="",NOT(ISNUMBER($G112))),"",EDATE($H112,$G112))</f>
        <v/>
      </c>
      <c r="J112" s="5" t="str">
        <f>IF($I112="","",$I112-TODAY())</f>
        <v/>
      </c>
      <c r="K112" s="8" t="str">
        <f>IF($F112="","",IF(NOT(ISNUMBER($G112)),"Hors champ",IF($H112="","À renseigner",IF($J112&lt;0,"Dépassée",IF($J112&lt;=30,"À planifier","À jour")))))</f>
        <v/>
      </c>
    </row>
    <row r="113" spans="6:12" x14ac:dyDescent="0.25">
      <c r="G113" s="5" t="str">
        <f>IF($F113="","",IFERROR(VLOOKUP($F113,'Référentiel VGP'!$A$2:$B$15,2,FALSE),""))</f>
        <v/>
      </c>
      <c r="H113" s="6"/>
      <c r="I113" s="7" t="str">
        <f>IF(OR($H113="",NOT(ISNUMBER($G113))),"",EDATE($H113,$G113))</f>
        <v/>
      </c>
      <c r="J113" s="5" t="str">
        <f>IF($I113="","",$I113-TODAY())</f>
        <v/>
      </c>
      <c r="K113" s="8" t="str">
        <f>IF($F113="","",IF(NOT(ISNUMBER($G113)),"Hors champ",IF($H113="","À renseigner",IF($J113&lt;0,"Dépassée",IF($J113&lt;=30,"À planifier","À jour")))))</f>
        <v/>
      </c>
    </row>
    <row r="114" spans="6:12" x14ac:dyDescent="0.25">
      <c r="G114" s="5" t="str">
        <f>IF($F114="","",IFERROR(VLOOKUP($F114,'Référentiel VGP'!$A$2:$B$15,2,FALSE),""))</f>
        <v/>
      </c>
      <c r="H114" s="6"/>
      <c r="I114" s="7" t="str">
        <f>IF(OR($H114="",NOT(ISNUMBER($G114))),"",EDATE($H114,$G114))</f>
        <v/>
      </c>
      <c r="J114" s="5" t="str">
        <f>IF($I114="","",$I114-TODAY())</f>
        <v/>
      </c>
      <c r="K114" s="8" t="str">
        <f>IF($F114="","",IF(NOT(ISNUMBER($G114)),"Hors champ",IF($H114="","À renseigner",IF($J114&lt;0,"Dépassée",IF($J114&lt;=30,"À planifier","À jour")))))</f>
        <v/>
      </c>
    </row>
    <row r="115" spans="6:12" x14ac:dyDescent="0.25">
      <c r="G115" s="5" t="str">
        <f>IF($F115="","",IFERROR(VLOOKUP($F115,'Référentiel VGP'!$A$2:$B$15,2,FALSE),""))</f>
        <v/>
      </c>
      <c r="H115" s="6"/>
      <c r="I115" s="7" t="str">
        <f>IF(OR($H115="",NOT(ISNUMBER($G115))),"",EDATE($H115,$G115))</f>
        <v/>
      </c>
      <c r="J115" s="5" t="str">
        <f>IF($I115="","",$I115-TODAY())</f>
        <v/>
      </c>
      <c r="K115" s="8" t="str">
        <f>IF($F115="","",IF(NOT(ISNUMBER($G115)),"Hors champ",IF($H115="","À renseigner",IF($J115&lt;0,"Dépassée",IF($J115&lt;=30,"À planifier","À jour")))))</f>
        <v/>
      </c>
    </row>
    <row r="116" spans="6:12" x14ac:dyDescent="0.25">
      <c r="G116" s="5" t="str">
        <f>IF($F116="","",IFERROR(VLOOKUP($F116,'Référentiel VGP'!$A$2:$B$15,2,FALSE),""))</f>
        <v/>
      </c>
      <c r="H116" s="6"/>
      <c r="I116" s="7" t="str">
        <f>IF(OR($H116="",NOT(ISNUMBER($G116))),"",EDATE($H116,$G116))</f>
        <v/>
      </c>
      <c r="J116" s="5" t="str">
        <f>IF($I116="","",$I116-TODAY())</f>
        <v/>
      </c>
      <c r="K116" s="8" t="str">
        <f>IF($F116="","",IF(NOT(ISNUMBER($G116)),"Hors champ",IF($H116="","À renseigner",IF($J116&lt;0,"Dépassée",IF($J116&lt;=30,"À planifier","À jour")))))</f>
        <v/>
      </c>
    </row>
    <row r="117" spans="6:12" x14ac:dyDescent="0.25">
      <c r="G117" s="5" t="str">
        <f>IF($F117="","",IFERROR(VLOOKUP($F117,'Référentiel VGP'!$A$2:$B$15,2,FALSE),""))</f>
        <v/>
      </c>
      <c r="H117" s="6"/>
      <c r="I117" s="7" t="str">
        <f>IF(OR($H117="",NOT(ISNUMBER($G117))),"",EDATE($H117,$G117))</f>
        <v/>
      </c>
      <c r="J117" s="5" t="str">
        <f>IF($I117="","",$I117-TODAY())</f>
        <v/>
      </c>
      <c r="K117" s="8" t="str">
        <f>IF($F117="","",IF(NOT(ISNUMBER($G117)),"Hors champ",IF($H117="","À renseigner",IF($J117&lt;0,"Dépassée",IF($J117&lt;=30,"À planifier","À jour")))))</f>
        <v/>
      </c>
    </row>
    <row r="118" spans="6:12" x14ac:dyDescent="0.25">
      <c r="G118" s="5" t="str">
        <f>IF($F118="","",IFERROR(VLOOKUP($F118,'Référentiel VGP'!$A$2:$B$15,2,FALSE),""))</f>
        <v/>
      </c>
      <c r="H118" s="6"/>
      <c r="I118" s="7" t="str">
        <f>IF(OR($H118="",NOT(ISNUMBER($G118))),"",EDATE($H118,$G118))</f>
        <v/>
      </c>
      <c r="J118" s="5" t="str">
        <f>IF($I118="","",$I118-TODAY())</f>
        <v/>
      </c>
      <c r="K118" s="8" t="str">
        <f>IF($F118="","",IF(NOT(ISNUMBER($G118)),"Hors champ",IF($H118="","À renseigner",IF($J118&lt;0,"Dépassée",IF($J118&lt;=30,"À planifier","À jour")))))</f>
        <v/>
      </c>
    </row>
    <row r="119" spans="6:12" x14ac:dyDescent="0.25">
      <c r="G119" s="5" t="str">
        <f>IF($F119="","",IFERROR(VLOOKUP($F119,'Référentiel VGP'!$A$2:$B$15,2,FALSE),""))</f>
        <v/>
      </c>
      <c r="H119" s="6"/>
      <c r="I119" s="7" t="str">
        <f>IF(OR($H119="",NOT(ISNUMBER($G119))),"",EDATE($H119,$G119))</f>
        <v/>
      </c>
      <c r="J119" s="5" t="str">
        <f>IF($I119="","",$I119-TODAY())</f>
        <v/>
      </c>
      <c r="K119" s="8" t="str">
        <f>IF($F119="","",IF(NOT(ISNUMBER($G119)),"Hors champ",IF($H119="","À renseigner",IF($J119&lt;0,"Dépassée",IF($J119&lt;=30,"À planifier","À jour")))))</f>
        <v/>
      </c>
    </row>
    <row r="120" spans="6:12" x14ac:dyDescent="0.25">
      <c r="G120" s="5" t="str">
        <f>IF($F120="","",IFERROR(VLOOKUP($F120,'Référentiel VGP'!$A$2:$B$15,2,FALSE),""))</f>
        <v/>
      </c>
      <c r="H120" s="6"/>
      <c r="I120" s="7" t="str">
        <f>IF(OR($H120="",NOT(ISNUMBER($G120))),"",EDATE($H120,$G120))</f>
        <v/>
      </c>
      <c r="J120" s="5" t="str">
        <f>IF($I120="","",$I120-TODAY())</f>
        <v/>
      </c>
      <c r="K120" s="8" t="str">
        <f>IF($F120="","",IF(NOT(ISNUMBER($G120)),"Hors champ",IF($H120="","À renseigner",IF($J120&lt;0,"Dépassée",IF($J120&lt;=30,"À planifier","À jour")))))</f>
        <v/>
      </c>
    </row>
    <row r="121" spans="6:12" x14ac:dyDescent="0.25">
      <c r="G121" s="5" t="str">
        <f>IF($F121="","",IFERROR(VLOOKUP($F121,'Référentiel VGP'!$A$2:$B$15,2,FALSE),""))</f>
        <v/>
      </c>
      <c r="H121" s="6"/>
      <c r="I121" s="7" t="str">
        <f>IF(OR($H121="",NOT(ISNUMBER($G121))),"",EDATE($H121,$G121))</f>
        <v/>
      </c>
      <c r="J121" s="5" t="str">
        <f>IF($I121="","",$I121-TODAY())</f>
        <v/>
      </c>
      <c r="K121" s="8" t="str">
        <f>IF($F121="","",IF(NOT(ISNUMBER($G121)),"Hors champ",IF($H121="","À renseigner",IF($J121&lt;0,"Dépassée",IF($J121&lt;=30,"À planifier","À jour")))))</f>
        <v/>
      </c>
    </row>
    <row r="122" spans="6:12" x14ac:dyDescent="0.25">
      <c r="G122" s="5" t="str">
        <f>IF($F122="","",IFERROR(VLOOKUP($F122,'Référentiel VGP'!$A$2:$B$15,2,FALSE),""))</f>
        <v/>
      </c>
      <c r="H122" s="6"/>
      <c r="I122" s="7" t="str">
        <f>IF(OR($H122="",NOT(ISNUMBER($G122))),"",EDATE($H122,$G122))</f>
        <v/>
      </c>
      <c r="J122" s="5" t="str">
        <f>IF($I122="","",$I122-TODAY())</f>
        <v/>
      </c>
      <c r="K122" s="8" t="str">
        <f>IF($F122="","",IF(NOT(ISNUMBER($G122)),"Hors champ",IF($H122="","À renseigner",IF($J122&lt;0,"Dépassée",IF($J122&lt;=30,"À planifier","À jour")))))</f>
        <v/>
      </c>
    </row>
    <row r="123" spans="6:12" x14ac:dyDescent="0.25">
      <c r="G123" s="5" t="str">
        <f>IF($F123="","",IFERROR(VLOOKUP($F123,'Référentiel VGP'!$A$2:$B$15,2,FALSE),""))</f>
        <v/>
      </c>
      <c r="H123" s="6"/>
      <c r="I123" s="7" t="str">
        <f>IF(OR($H123="",NOT(ISNUMBER($G123))),"",EDATE($H123,$G123))</f>
        <v/>
      </c>
      <c r="J123" s="5" t="str">
        <f>IF($I123="","",$I123-TODAY())</f>
        <v/>
      </c>
      <c r="K123" s="8" t="str">
        <f>IF($F123="","",IF(NOT(ISNUMBER($G123)),"Hors champ",IF($H123="","À renseigner",IF($J123&lt;0,"Dépassée",IF($J123&lt;=30,"À planifier","À jour")))))</f>
        <v/>
      </c>
    </row>
    <row r="124" spans="6:12" x14ac:dyDescent="0.25">
      <c r="G124" s="5" t="str">
        <f>IF($F124="","",IFERROR(VLOOKUP($F124,'Référentiel VGP'!$A$2:$B$15,2,FALSE),""))</f>
        <v/>
      </c>
      <c r="H124" s="6"/>
      <c r="I124" s="7" t="str">
        <f>IF(OR($H124="",NOT(ISNUMBER($G124))),"",EDATE($H124,$G124))</f>
        <v/>
      </c>
      <c r="J124" s="5" t="str">
        <f>IF($I124="","",$I124-TODAY())</f>
        <v/>
      </c>
      <c r="K124" s="8" t="str">
        <f>IF($F124="","",IF(NOT(ISNUMBER($G124)),"Hors champ",IF($H124="","À renseigner",IF($J124&lt;0,"Dépassée",IF($J124&lt;=30,"À planifier","À jour")))))</f>
        <v/>
      </c>
    </row>
    <row r="125" spans="6:12" x14ac:dyDescent="0.25">
      <c r="G125" s="5" t="str">
        <f>IF($F125="","",IFERROR(VLOOKUP($F125,'Référentiel VGP'!$A$2:$B$15,2,FALSE),""))</f>
        <v/>
      </c>
      <c r="H125" s="6"/>
      <c r="I125" s="7" t="str">
        <f>IF(OR($H125="",NOT(ISNUMBER($G125))),"",EDATE($H125,$G125))</f>
        <v/>
      </c>
      <c r="J125" s="5" t="str">
        <f>IF($I125="","",$I125-TODAY())</f>
        <v/>
      </c>
      <c r="K125" s="8" t="str">
        <f>IF($F125="","",IF(NOT(ISNUMBER($G125)),"Hors champ",IF($H125="","À renseigner",IF($J125&lt;0,"Dépassée",IF($J125&lt;=30,"À planifier","À jour")))))</f>
        <v/>
      </c>
    </row>
    <row r="126" spans="6:12" x14ac:dyDescent="0.25">
      <c r="G126" s="5" t="str">
        <f>IF($F126="","",IFERROR(VLOOKUP($F126,'Référentiel VGP'!$A$2:$B$15,2,FALSE),""))</f>
        <v/>
      </c>
      <c r="H126" s="6"/>
      <c r="I126" s="7" t="str">
        <f>IF(OR($H126="",NOT(ISNUMBER($G126))),"",EDATE($H126,$G126))</f>
        <v/>
      </c>
      <c r="J126" s="5" t="str">
        <f>IF($I126="","",$I126-TODAY())</f>
        <v/>
      </c>
      <c r="K126" s="8" t="str">
        <f>IF($F126="","",IF(NOT(ISNUMBER($G126)),"Hors champ",IF($H126="","À renseigner",IF($J126&lt;0,"Dépassée",IF($J126&lt;=30,"À planifier","À jour")))))</f>
        <v/>
      </c>
    </row>
    <row r="127" spans="6:12" x14ac:dyDescent="0.25">
      <c r="G127" s="5" t="str">
        <f>IF($F127="","",IFERROR(VLOOKUP($F127,'Référentiel VGP'!$A$2:$B$15,2,FALSE),""))</f>
        <v/>
      </c>
      <c r="H127" s="6"/>
      <c r="I127" s="7" t="str">
        <f>IF(OR($H127="",NOT(ISNUMBER($G127))),"",EDATE($H127,$G127))</f>
        <v/>
      </c>
      <c r="J127" s="5" t="str">
        <f>IF($I127="","",$I127-TODAY())</f>
        <v/>
      </c>
      <c r="K127" s="8" t="str">
        <f>IF($F127="","",IF(NOT(ISNUMBER($G127)),"Hors champ",IF($H127="","À renseigner",IF($J127&lt;0,"Dépassée",IF($J127&lt;=30,"À planifier","À jour")))))</f>
        <v/>
      </c>
    </row>
    <row r="128" spans="6:12" x14ac:dyDescent="0.25">
      <c r="G128" s="5" t="str">
        <f>IF($F128="","",IFERROR(VLOOKUP($F128,'Référentiel VGP'!$A$2:$B$15,2,FALSE),""))</f>
        <v/>
      </c>
      <c r="H128" s="6"/>
      <c r="I128" s="7" t="str">
        <f>IF(OR($H128="",NOT(ISNUMBER($G128))),"",EDATE($H128,$G128))</f>
        <v/>
      </c>
      <c r="J128" s="5" t="str">
        <f>IF($I128="","",$I128-TODAY())</f>
        <v/>
      </c>
      <c r="K128" s="8" t="str">
        <f>IF($F128="","",IF(NOT(ISNUMBER($G128)),"Hors champ",IF($H128="","À renseigner",IF($J128&lt;0,"Dépassée",IF($J128&lt;=30,"À planifier","À jour")))))</f>
        <v/>
      </c>
    </row>
    <row r="129" spans="6:12" x14ac:dyDescent="0.25">
      <c r="G129" s="5" t="str">
        <f>IF($F129="","",IFERROR(VLOOKUP($F129,'Référentiel VGP'!$A$2:$B$15,2,FALSE),""))</f>
        <v/>
      </c>
      <c r="H129" s="6"/>
      <c r="I129" s="7" t="str">
        <f>IF(OR($H129="",NOT(ISNUMBER($G129))),"",EDATE($H129,$G129))</f>
        <v/>
      </c>
      <c r="J129" s="5" t="str">
        <f>IF($I129="","",$I129-TODAY())</f>
        <v/>
      </c>
      <c r="K129" s="8" t="str">
        <f>IF($F129="","",IF(NOT(ISNUMBER($G129)),"Hors champ",IF($H129="","À renseigner",IF($J129&lt;0,"Dépassée",IF($J129&lt;=30,"À planifier","À jour")))))</f>
        <v/>
      </c>
    </row>
    <row r="130" spans="6:12" x14ac:dyDescent="0.25">
      <c r="G130" s="5" t="str">
        <f>IF($F130="","",IFERROR(VLOOKUP($F130,'Référentiel VGP'!$A$2:$B$15,2,FALSE),""))</f>
        <v/>
      </c>
      <c r="H130" s="6"/>
      <c r="I130" s="7" t="str">
        <f>IF(OR($H130="",NOT(ISNUMBER($G130))),"",EDATE($H130,$G130))</f>
        <v/>
      </c>
      <c r="J130" s="5" t="str">
        <f>IF($I130="","",$I130-TODAY())</f>
        <v/>
      </c>
      <c r="K130" s="8" t="str">
        <f>IF($F130="","",IF(NOT(ISNUMBER($G130)),"Hors champ",IF($H130="","À renseigner",IF($J130&lt;0,"Dépassée",IF($J130&lt;=30,"À planifier","À jour")))))</f>
        <v/>
      </c>
    </row>
    <row r="131" spans="6:12" x14ac:dyDescent="0.25">
      <c r="G131" s="5" t="str">
        <f>IF($F131="","",IFERROR(VLOOKUP($F131,'Référentiel VGP'!$A$2:$B$15,2,FALSE),""))</f>
        <v/>
      </c>
      <c r="H131" s="6"/>
      <c r="I131" s="7" t="str">
        <f>IF(OR($H131="",NOT(ISNUMBER($G131))),"",EDATE($H131,$G131))</f>
        <v/>
      </c>
      <c r="J131" s="5" t="str">
        <f>IF($I131="","",$I131-TODAY())</f>
        <v/>
      </c>
      <c r="K131" s="8" t="str">
        <f>IF($F131="","",IF(NOT(ISNUMBER($G131)),"Hors champ",IF($H131="","À renseigner",IF($J131&lt;0,"Dépassée",IF($J131&lt;=30,"À planifier","À jour")))))</f>
        <v/>
      </c>
    </row>
    <row r="132" spans="6:12" x14ac:dyDescent="0.25">
      <c r="G132" s="5" t="str">
        <f>IF($F132="","",IFERROR(VLOOKUP($F132,'Référentiel VGP'!$A$2:$B$15,2,FALSE),""))</f>
        <v/>
      </c>
      <c r="H132" s="6"/>
      <c r="I132" s="7" t="str">
        <f>IF(OR($H132="",NOT(ISNUMBER($G132))),"",EDATE($H132,$G132))</f>
        <v/>
      </c>
      <c r="J132" s="5" t="str">
        <f>IF($I132="","",$I132-TODAY())</f>
        <v/>
      </c>
      <c r="K132" s="8" t="str">
        <f>IF($F132="","",IF(NOT(ISNUMBER($G132)),"Hors champ",IF($H132="","À renseigner",IF($J132&lt;0,"Dépassée",IF($J132&lt;=30,"À planifier","À jour")))))</f>
        <v/>
      </c>
    </row>
    <row r="133" spans="6:12" x14ac:dyDescent="0.25">
      <c r="G133" s="5" t="str">
        <f>IF($F133="","",IFERROR(VLOOKUP($F133,'Référentiel VGP'!$A$2:$B$15,2,FALSE),""))</f>
        <v/>
      </c>
      <c r="H133" s="6"/>
      <c r="I133" s="7" t="str">
        <f>IF(OR($H133="",NOT(ISNUMBER($G133))),"",EDATE($H133,$G133))</f>
        <v/>
      </c>
      <c r="J133" s="5" t="str">
        <f>IF($I133="","",$I133-TODAY())</f>
        <v/>
      </c>
      <c r="K133" s="8" t="str">
        <f>IF($F133="","",IF(NOT(ISNUMBER($G133)),"Hors champ",IF($H133="","À renseigner",IF($J133&lt;0,"Dépassée",IF($J133&lt;=30,"À planifier","À jour")))))</f>
        <v/>
      </c>
    </row>
    <row r="134" spans="6:12" x14ac:dyDescent="0.25">
      <c r="G134" s="5" t="str">
        <f>IF($F134="","",IFERROR(VLOOKUP($F134,'Référentiel VGP'!$A$2:$B$15,2,FALSE),""))</f>
        <v/>
      </c>
      <c r="H134" s="6"/>
      <c r="I134" s="7" t="str">
        <f>IF(OR($H134="",NOT(ISNUMBER($G134))),"",EDATE($H134,$G134))</f>
        <v/>
      </c>
      <c r="J134" s="5" t="str">
        <f>IF($I134="","",$I134-TODAY())</f>
        <v/>
      </c>
      <c r="K134" s="8" t="str">
        <f>IF($F134="","",IF(NOT(ISNUMBER($G134)),"Hors champ",IF($H134="","À renseigner",IF($J134&lt;0,"Dépassée",IF($J134&lt;=30,"À planifier","À jour")))))</f>
        <v/>
      </c>
    </row>
    <row r="135" spans="6:12" x14ac:dyDescent="0.25">
      <c r="G135" s="5" t="str">
        <f>IF($F135="","",IFERROR(VLOOKUP($F135,'Référentiel VGP'!$A$2:$B$15,2,FALSE),""))</f>
        <v/>
      </c>
      <c r="H135" s="6"/>
      <c r="I135" s="7" t="str">
        <f>IF(OR($H135="",NOT(ISNUMBER($G135))),"",EDATE($H135,$G135))</f>
        <v/>
      </c>
      <c r="J135" s="5" t="str">
        <f>IF($I135="","",$I135-TODAY())</f>
        <v/>
      </c>
      <c r="K135" s="8" t="str">
        <f>IF($F135="","",IF(NOT(ISNUMBER($G135)),"Hors champ",IF($H135="","À renseigner",IF($J135&lt;0,"Dépassée",IF($J135&lt;=30,"À planifier","À jour")))))</f>
        <v/>
      </c>
    </row>
    <row r="136" spans="6:12" x14ac:dyDescent="0.25">
      <c r="G136" s="5" t="str">
        <f>IF($F136="","",IFERROR(VLOOKUP($F136,'Référentiel VGP'!$A$2:$B$15,2,FALSE),""))</f>
        <v/>
      </c>
      <c r="H136" s="6"/>
      <c r="I136" s="7" t="str">
        <f>IF(OR($H136="",NOT(ISNUMBER($G136))),"",EDATE($H136,$G136))</f>
        <v/>
      </c>
      <c r="J136" s="5" t="str">
        <f>IF($I136="","",$I136-TODAY())</f>
        <v/>
      </c>
      <c r="K136" s="8" t="str">
        <f>IF($F136="","",IF(NOT(ISNUMBER($G136)),"Hors champ",IF($H136="","À renseigner",IF($J136&lt;0,"Dépassée",IF($J136&lt;=30,"À planifier","À jour")))))</f>
        <v/>
      </c>
    </row>
    <row r="137" spans="6:12" x14ac:dyDescent="0.25">
      <c r="G137" s="5" t="str">
        <f>IF($F137="","",IFERROR(VLOOKUP($F137,'Référentiel VGP'!$A$2:$B$15,2,FALSE),""))</f>
        <v/>
      </c>
      <c r="H137" s="6"/>
      <c r="I137" s="7" t="str">
        <f>IF(OR($H137="",NOT(ISNUMBER($G137))),"",EDATE($H137,$G137))</f>
        <v/>
      </c>
      <c r="J137" s="5" t="str">
        <f>IF($I137="","",$I137-TODAY())</f>
        <v/>
      </c>
      <c r="K137" s="8" t="str">
        <f>IF($F137="","",IF(NOT(ISNUMBER($G137)),"Hors champ",IF($H137="","À renseigner",IF($J137&lt;0,"Dépassée",IF($J137&lt;=30,"À planifier","À jour")))))</f>
        <v/>
      </c>
    </row>
    <row r="138" spans="6:12" x14ac:dyDescent="0.25">
      <c r="G138" s="5" t="str">
        <f>IF($F138="","",IFERROR(VLOOKUP($F138,'Référentiel VGP'!$A$2:$B$15,2,FALSE),""))</f>
        <v/>
      </c>
      <c r="H138" s="6"/>
      <c r="I138" s="7" t="str">
        <f>IF(OR($H138="",NOT(ISNUMBER($G138))),"",EDATE($H138,$G138))</f>
        <v/>
      </c>
      <c r="J138" s="5" t="str">
        <f>IF($I138="","",$I138-TODAY())</f>
        <v/>
      </c>
      <c r="K138" s="8" t="str">
        <f>IF($F138="","",IF(NOT(ISNUMBER($G138)),"Hors champ",IF($H138="","À renseigner",IF($J138&lt;0,"Dépassée",IF($J138&lt;=30,"À planifier","À jour")))))</f>
        <v/>
      </c>
    </row>
    <row r="139" spans="6:12" x14ac:dyDescent="0.25">
      <c r="G139" s="5" t="str">
        <f>IF($F139="","",IFERROR(VLOOKUP($F139,'Référentiel VGP'!$A$2:$B$15,2,FALSE),""))</f>
        <v/>
      </c>
      <c r="H139" s="6"/>
      <c r="I139" s="7" t="str">
        <f>IF(OR($H139="",NOT(ISNUMBER($G139))),"",EDATE($H139,$G139))</f>
        <v/>
      </c>
      <c r="J139" s="5" t="str">
        <f>IF($I139="","",$I139-TODAY())</f>
        <v/>
      </c>
      <c r="K139" s="8" t="str">
        <f>IF($F139="","",IF(NOT(ISNUMBER($G139)),"Hors champ",IF($H139="","À renseigner",IF($J139&lt;0,"Dépassée",IF($J139&lt;=30,"À planifier","À jour")))))</f>
        <v/>
      </c>
    </row>
    <row r="140" spans="6:12" x14ac:dyDescent="0.25">
      <c r="G140" s="5" t="str">
        <f>IF($F140="","",IFERROR(VLOOKUP($F140,'Référentiel VGP'!$A$2:$B$15,2,FALSE),""))</f>
        <v/>
      </c>
      <c r="H140" s="6"/>
      <c r="I140" s="7" t="str">
        <f>IF(OR($H140="",NOT(ISNUMBER($G140))),"",EDATE($H140,$G140))</f>
        <v/>
      </c>
      <c r="J140" s="5" t="str">
        <f>IF($I140="","",$I140-TODAY())</f>
        <v/>
      </c>
      <c r="K140" s="8" t="str">
        <f>IF($F140="","",IF(NOT(ISNUMBER($G140)),"Hors champ",IF($H140="","À renseigner",IF($J140&lt;0,"Dépassée",IF($J140&lt;=30,"À planifier","À jour")))))</f>
        <v/>
      </c>
    </row>
    <row r="141" spans="6:12" x14ac:dyDescent="0.25">
      <c r="G141" s="5" t="str">
        <f>IF($F141="","",IFERROR(VLOOKUP($F141,'Référentiel VGP'!$A$2:$B$15,2,FALSE),""))</f>
        <v/>
      </c>
      <c r="H141" s="6"/>
      <c r="I141" s="7" t="str">
        <f>IF(OR($H141="",NOT(ISNUMBER($G141))),"",EDATE($H141,$G141))</f>
        <v/>
      </c>
      <c r="J141" s="5" t="str">
        <f>IF($I141="","",$I141-TODAY())</f>
        <v/>
      </c>
      <c r="K141" s="8" t="str">
        <f>IF($F141="","",IF(NOT(ISNUMBER($G141)),"Hors champ",IF($H141="","À renseigner",IF($J141&lt;0,"Dépassée",IF($J141&lt;=30,"À planifier","À jour")))))</f>
        <v/>
      </c>
    </row>
    <row r="142" spans="6:12" x14ac:dyDescent="0.25">
      <c r="G142" s="5" t="str">
        <f>IF($F142="","",IFERROR(VLOOKUP($F142,'Référentiel VGP'!$A$2:$B$15,2,FALSE),""))</f>
        <v/>
      </c>
      <c r="H142" s="6"/>
      <c r="I142" s="7" t="str">
        <f>IF(OR($H142="",NOT(ISNUMBER($G142))),"",EDATE($H142,$G142))</f>
        <v/>
      </c>
      <c r="J142" s="5" t="str">
        <f>IF($I142="","",$I142-TODAY())</f>
        <v/>
      </c>
      <c r="K142" s="8" t="str">
        <f>IF($F142="","",IF(NOT(ISNUMBER($G142)),"Hors champ",IF($H142="","À renseigner",IF($J142&lt;0,"Dépassée",IF($J142&lt;=30,"À planifier","À jour")))))</f>
        <v/>
      </c>
    </row>
    <row r="143" spans="6:12" x14ac:dyDescent="0.25">
      <c r="G143" s="5" t="str">
        <f>IF($F143="","",IFERROR(VLOOKUP($F143,'Référentiel VGP'!$A$2:$B$15,2,FALSE),""))</f>
        <v/>
      </c>
      <c r="H143" s="6"/>
      <c r="I143" s="7" t="str">
        <f>IF(OR($H143="",NOT(ISNUMBER($G143))),"",EDATE($H143,$G143))</f>
        <v/>
      </c>
      <c r="J143" s="5" t="str">
        <f>IF($I143="","",$I143-TODAY())</f>
        <v/>
      </c>
      <c r="K143" s="8" t="str">
        <f>IF($F143="","",IF(NOT(ISNUMBER($G143)),"Hors champ",IF($H143="","À renseigner",IF($J143&lt;0,"Dépassée",IF($J143&lt;=30,"À planifier","À jour")))))</f>
        <v/>
      </c>
    </row>
    <row r="144" spans="6:12" x14ac:dyDescent="0.25">
      <c r="G144" s="5" t="str">
        <f>IF($F144="","",IFERROR(VLOOKUP($F144,'Référentiel VGP'!$A$2:$B$15,2,FALSE),""))</f>
        <v/>
      </c>
      <c r="H144" s="6"/>
      <c r="I144" s="7" t="str">
        <f>IF(OR($H144="",NOT(ISNUMBER($G144))),"",EDATE($H144,$G144))</f>
        <v/>
      </c>
      <c r="J144" s="5" t="str">
        <f>IF($I144="","",$I144-TODAY())</f>
        <v/>
      </c>
      <c r="K144" s="8" t="str">
        <f>IF($F144="","",IF(NOT(ISNUMBER($G144)),"Hors champ",IF($H144="","À renseigner",IF($J144&lt;0,"Dépassée",IF($J144&lt;=30,"À planifier","À jour")))))</f>
        <v/>
      </c>
    </row>
    <row r="145" spans="6:12" x14ac:dyDescent="0.25">
      <c r="G145" s="5" t="str">
        <f>IF($F145="","",IFERROR(VLOOKUP($F145,'Référentiel VGP'!$A$2:$B$15,2,FALSE),""))</f>
        <v/>
      </c>
      <c r="H145" s="6"/>
      <c r="I145" s="7" t="str">
        <f>IF(OR($H145="",NOT(ISNUMBER($G145))),"",EDATE($H145,$G145))</f>
        <v/>
      </c>
      <c r="J145" s="5" t="str">
        <f>IF($I145="","",$I145-TODAY())</f>
        <v/>
      </c>
      <c r="K145" s="8" t="str">
        <f>IF($F145="","",IF(NOT(ISNUMBER($G145)),"Hors champ",IF($H145="","À renseigner",IF($J145&lt;0,"Dépassée",IF($J145&lt;=30,"À planifier","À jour")))))</f>
        <v/>
      </c>
    </row>
    <row r="146" spans="6:12" x14ac:dyDescent="0.25">
      <c r="G146" s="5" t="str">
        <f>IF($F146="","",IFERROR(VLOOKUP($F146,'Référentiel VGP'!$A$2:$B$15,2,FALSE),""))</f>
        <v/>
      </c>
      <c r="H146" s="6"/>
      <c r="I146" s="7" t="str">
        <f>IF(OR($H146="",NOT(ISNUMBER($G146))),"",EDATE($H146,$G146))</f>
        <v/>
      </c>
      <c r="J146" s="5" t="str">
        <f>IF($I146="","",$I146-TODAY())</f>
        <v/>
      </c>
      <c r="K146" s="8" t="str">
        <f>IF($F146="","",IF(NOT(ISNUMBER($G146)),"Hors champ",IF($H146="","À renseigner",IF($J146&lt;0,"Dépassée",IF($J146&lt;=30,"À planifier","À jour")))))</f>
        <v/>
      </c>
    </row>
    <row r="147" spans="6:12" x14ac:dyDescent="0.25">
      <c r="G147" s="5" t="str">
        <f>IF($F147="","",IFERROR(VLOOKUP($F147,'Référentiel VGP'!$A$2:$B$15,2,FALSE),""))</f>
        <v/>
      </c>
      <c r="H147" s="6"/>
      <c r="I147" s="7" t="str">
        <f>IF(OR($H147="",NOT(ISNUMBER($G147))),"",EDATE($H147,$G147))</f>
        <v/>
      </c>
      <c r="J147" s="5" t="str">
        <f>IF($I147="","",$I147-TODAY())</f>
        <v/>
      </c>
      <c r="K147" s="8" t="str">
        <f>IF($F147="","",IF(NOT(ISNUMBER($G147)),"Hors champ",IF($H147="","À renseigner",IF($J147&lt;0,"Dépassée",IF($J147&lt;=30,"À planifier","À jour")))))</f>
        <v/>
      </c>
    </row>
    <row r="148" spans="6:12" x14ac:dyDescent="0.25">
      <c r="G148" s="5" t="str">
        <f>IF($F148="","",IFERROR(VLOOKUP($F148,'Référentiel VGP'!$A$2:$B$15,2,FALSE),""))</f>
        <v/>
      </c>
      <c r="H148" s="6"/>
      <c r="I148" s="7" t="str">
        <f>IF(OR($H148="",NOT(ISNUMBER($G148))),"",EDATE($H148,$G148))</f>
        <v/>
      </c>
      <c r="J148" s="5" t="str">
        <f>IF($I148="","",$I148-TODAY())</f>
        <v/>
      </c>
      <c r="K148" s="8" t="str">
        <f>IF($F148="","",IF(NOT(ISNUMBER($G148)),"Hors champ",IF($H148="","À renseigner",IF($J148&lt;0,"Dépassée",IF($J148&lt;=30,"À planifier","À jour")))))</f>
        <v/>
      </c>
    </row>
    <row r="149" spans="6:12" x14ac:dyDescent="0.25">
      <c r="G149" s="5" t="str">
        <f>IF($F149="","",IFERROR(VLOOKUP($F149,'Référentiel VGP'!$A$2:$B$15,2,FALSE),""))</f>
        <v/>
      </c>
      <c r="H149" s="6"/>
      <c r="I149" s="7" t="str">
        <f>IF(OR($H149="",NOT(ISNUMBER($G149))),"",EDATE($H149,$G149))</f>
        <v/>
      </c>
      <c r="J149" s="5" t="str">
        <f>IF($I149="","",$I149-TODAY())</f>
        <v/>
      </c>
      <c r="K149" s="8" t="str">
        <f>IF($F149="","",IF(NOT(ISNUMBER($G149)),"Hors champ",IF($H149="","À renseigner",IF($J149&lt;0,"Dépassée",IF($J149&lt;=30,"À planifier","À jour")))))</f>
        <v/>
      </c>
    </row>
    <row r="150" spans="6:12" x14ac:dyDescent="0.25">
      <c r="G150" s="5" t="str">
        <f>IF($F150="","",IFERROR(VLOOKUP($F150,'Référentiel VGP'!$A$2:$B$15,2,FALSE),""))</f>
        <v/>
      </c>
      <c r="H150" s="6"/>
      <c r="I150" s="7" t="str">
        <f>IF(OR($H150="",NOT(ISNUMBER($G150))),"",EDATE($H150,$G150))</f>
        <v/>
      </c>
      <c r="J150" s="5" t="str">
        <f>IF($I150="","",$I150-TODAY())</f>
        <v/>
      </c>
      <c r="K150" s="8" t="str">
        <f>IF($F150="","",IF(NOT(ISNUMBER($G150)),"Hors champ",IF($H150="","À renseigner",IF($J150&lt;0,"Dépassée",IF($J150&lt;=30,"À planifier","À jour")))))</f>
        <v/>
      </c>
    </row>
    <row r="151" spans="6:12" x14ac:dyDescent="0.25">
      <c r="G151" s="5" t="str">
        <f>IF($F151="","",IFERROR(VLOOKUP($F151,'Référentiel VGP'!$A$2:$B$15,2,FALSE),""))</f>
        <v/>
      </c>
      <c r="H151" s="6"/>
      <c r="I151" s="7" t="str">
        <f>IF(OR($H151="",NOT(ISNUMBER($G151))),"",EDATE($H151,$G151))</f>
        <v/>
      </c>
      <c r="J151" s="5" t="str">
        <f>IF($I151="","",$I151-TODAY())</f>
        <v/>
      </c>
      <c r="K151" s="8" t="str">
        <f>IF($F151="","",IF(NOT(ISNUMBER($G151)),"Hors champ",IF($H151="","À renseigner",IF($J151&lt;0,"Dépassée",IF($J151&lt;=30,"À planifier","À jour")))))</f>
        <v/>
      </c>
    </row>
    <row r="152" spans="6:12" x14ac:dyDescent="0.25">
      <c r="G152" s="5" t="str">
        <f>IF($F152="","",IFERROR(VLOOKUP($F152,'Référentiel VGP'!$A$2:$B$15,2,FALSE),""))</f>
        <v/>
      </c>
      <c r="H152" s="6"/>
      <c r="I152" s="7" t="str">
        <f>IF(OR($H152="",NOT(ISNUMBER($G152))),"",EDATE($H152,$G152))</f>
        <v/>
      </c>
      <c r="J152" s="5" t="str">
        <f>IF($I152="","",$I152-TODAY())</f>
        <v/>
      </c>
      <c r="K152" s="8" t="str">
        <f>IF($F152="","",IF(NOT(ISNUMBER($G152)),"Hors champ",IF($H152="","À renseigner",IF($J152&lt;0,"Dépassée",IF($J152&lt;=30,"À planifier","À jour")))))</f>
        <v/>
      </c>
    </row>
    <row r="153" spans="6:12" x14ac:dyDescent="0.25">
      <c r="G153" s="5" t="str">
        <f>IF($F153="","",IFERROR(VLOOKUP($F153,'Référentiel VGP'!$A$2:$B$15,2,FALSE),""))</f>
        <v/>
      </c>
      <c r="H153" s="6"/>
      <c r="I153" s="7" t="str">
        <f>IF(OR($H153="",NOT(ISNUMBER($G153))),"",EDATE($H153,$G153))</f>
        <v/>
      </c>
      <c r="J153" s="5" t="str">
        <f>IF($I153="","",$I153-TODAY())</f>
        <v/>
      </c>
      <c r="K153" s="8" t="str">
        <f>IF($F153="","",IF(NOT(ISNUMBER($G153)),"Hors champ",IF($H153="","À renseigner",IF($J153&lt;0,"Dépassée",IF($J153&lt;=30,"À planifier","À jour")))))</f>
        <v/>
      </c>
    </row>
    <row r="154" spans="6:12" x14ac:dyDescent="0.25">
      <c r="G154" s="5" t="str">
        <f>IF($F154="","",IFERROR(VLOOKUP($F154,'Référentiel VGP'!$A$2:$B$15,2,FALSE),""))</f>
        <v/>
      </c>
      <c r="H154" s="6"/>
      <c r="I154" s="7" t="str">
        <f>IF(OR($H154="",NOT(ISNUMBER($G154))),"",EDATE($H154,$G154))</f>
        <v/>
      </c>
      <c r="J154" s="5" t="str">
        <f>IF($I154="","",$I154-TODAY())</f>
        <v/>
      </c>
      <c r="K154" s="8" t="str">
        <f>IF($F154="","",IF(NOT(ISNUMBER($G154)),"Hors champ",IF($H154="","À renseigner",IF($J154&lt;0,"Dépassée",IF($J154&lt;=30,"À planifier","À jour")))))</f>
        <v/>
      </c>
    </row>
    <row r="155" spans="6:12" x14ac:dyDescent="0.25">
      <c r="G155" s="5" t="str">
        <f>IF($F155="","",IFERROR(VLOOKUP($F155,'Référentiel VGP'!$A$2:$B$15,2,FALSE),""))</f>
        <v/>
      </c>
      <c r="H155" s="6"/>
      <c r="I155" s="7" t="str">
        <f>IF(OR($H155="",NOT(ISNUMBER($G155))),"",EDATE($H155,$G155))</f>
        <v/>
      </c>
      <c r="J155" s="5" t="str">
        <f>IF($I155="","",$I155-TODAY())</f>
        <v/>
      </c>
      <c r="K155" s="8" t="str">
        <f>IF($F155="","",IF(NOT(ISNUMBER($G155)),"Hors champ",IF($H155="","À renseigner",IF($J155&lt;0,"Dépassée",IF($J155&lt;=30,"À planifier","À jour")))))</f>
        <v/>
      </c>
    </row>
    <row r="156" spans="6:12" x14ac:dyDescent="0.25">
      <c r="G156" s="5" t="str">
        <f>IF($F156="","",IFERROR(VLOOKUP($F156,'Référentiel VGP'!$A$2:$B$15,2,FALSE),""))</f>
        <v/>
      </c>
      <c r="H156" s="6"/>
      <c r="I156" s="7" t="str">
        <f>IF(OR($H156="",NOT(ISNUMBER($G156))),"",EDATE($H156,$G156))</f>
        <v/>
      </c>
      <c r="J156" s="5" t="str">
        <f>IF($I156="","",$I156-TODAY())</f>
        <v/>
      </c>
      <c r="K156" s="8" t="str">
        <f>IF($F156="","",IF(NOT(ISNUMBER($G156)),"Hors champ",IF($H156="","À renseigner",IF($J156&lt;0,"Dépassée",IF($J156&lt;=30,"À planifier","À jour")))))</f>
        <v/>
      </c>
    </row>
    <row r="157" spans="6:12" x14ac:dyDescent="0.25">
      <c r="G157" s="5" t="str">
        <f>IF($F157="","",IFERROR(VLOOKUP($F157,'Référentiel VGP'!$A$2:$B$15,2,FALSE),""))</f>
        <v/>
      </c>
      <c r="H157" s="6"/>
      <c r="I157" s="7" t="str">
        <f>IF(OR($H157="",NOT(ISNUMBER($G157))),"",EDATE($H157,$G157))</f>
        <v/>
      </c>
      <c r="J157" s="5" t="str">
        <f>IF($I157="","",$I157-TODAY())</f>
        <v/>
      </c>
      <c r="K157" s="8" t="str">
        <f>IF($F157="","",IF(NOT(ISNUMBER($G157)),"Hors champ",IF($H157="","À renseigner",IF($J157&lt;0,"Dépassée",IF($J157&lt;=30,"À planifier","À jour")))))</f>
        <v/>
      </c>
    </row>
    <row r="158" spans="6:12" x14ac:dyDescent="0.25">
      <c r="G158" s="5" t="str">
        <f>IF($F158="","",IFERROR(VLOOKUP($F158,'Référentiel VGP'!$A$2:$B$15,2,FALSE),""))</f>
        <v/>
      </c>
      <c r="H158" s="6"/>
      <c r="I158" s="7" t="str">
        <f>IF(OR($H158="",NOT(ISNUMBER($G158))),"",EDATE($H158,$G158))</f>
        <v/>
      </c>
      <c r="J158" s="5" t="str">
        <f>IF($I158="","",$I158-TODAY())</f>
        <v/>
      </c>
      <c r="K158" s="8" t="str">
        <f>IF($F158="","",IF(NOT(ISNUMBER($G158)),"Hors champ",IF($H158="","À renseigner",IF($J158&lt;0,"Dépassée",IF($J158&lt;=30,"À planifier","À jour")))))</f>
        <v/>
      </c>
    </row>
    <row r="159" spans="6:12" x14ac:dyDescent="0.25">
      <c r="G159" s="5" t="str">
        <f>IF($F159="","",IFERROR(VLOOKUP($F159,'Référentiel VGP'!$A$2:$B$15,2,FALSE),""))</f>
        <v/>
      </c>
      <c r="H159" s="6"/>
      <c r="I159" s="7" t="str">
        <f>IF(OR($H159="",NOT(ISNUMBER($G159))),"",EDATE($H159,$G159))</f>
        <v/>
      </c>
      <c r="J159" s="5" t="str">
        <f>IF($I159="","",$I159-TODAY())</f>
        <v/>
      </c>
      <c r="K159" s="8" t="str">
        <f>IF($F159="","",IF(NOT(ISNUMBER($G159)),"Hors champ",IF($H159="","À renseigner",IF($J159&lt;0,"Dépassée",IF($J159&lt;=30,"À planifier","À jour")))))</f>
        <v/>
      </c>
    </row>
    <row r="160" spans="6:12" x14ac:dyDescent="0.25">
      <c r="G160" s="5" t="str">
        <f>IF($F160="","",IFERROR(VLOOKUP($F160,'Référentiel VGP'!$A$2:$B$15,2,FALSE),""))</f>
        <v/>
      </c>
      <c r="H160" s="6"/>
      <c r="I160" s="7" t="str">
        <f>IF(OR($H160="",NOT(ISNUMBER($G160))),"",EDATE($H160,$G160))</f>
        <v/>
      </c>
      <c r="J160" s="5" t="str">
        <f>IF($I160="","",$I160-TODAY())</f>
        <v/>
      </c>
      <c r="K160" s="8" t="str">
        <f>IF($F160="","",IF(NOT(ISNUMBER($G160)),"Hors champ",IF($H160="","À renseigner",IF($J160&lt;0,"Dépassée",IF($J160&lt;=30,"À planifier","À jour")))))</f>
        <v/>
      </c>
    </row>
    <row r="161" spans="6:12" x14ac:dyDescent="0.25">
      <c r="G161" s="5" t="str">
        <f>IF($F161="","",IFERROR(VLOOKUP($F161,'Référentiel VGP'!$A$2:$B$15,2,FALSE),""))</f>
        <v/>
      </c>
      <c r="H161" s="6"/>
      <c r="I161" s="7" t="str">
        <f>IF(OR($H161="",NOT(ISNUMBER($G161))),"",EDATE($H161,$G161))</f>
        <v/>
      </c>
      <c r="J161" s="5" t="str">
        <f>IF($I161="","",$I161-TODAY())</f>
        <v/>
      </c>
      <c r="K161" s="8" t="str">
        <f>IF($F161="","",IF(NOT(ISNUMBER($G161)),"Hors champ",IF($H161="","À renseigner",IF($J161&lt;0,"Dépassée",IF($J161&lt;=30,"À planifier","À jour")))))</f>
        <v/>
      </c>
    </row>
    <row r="162" spans="6:12" x14ac:dyDescent="0.25">
      <c r="G162" s="5" t="str">
        <f>IF($F162="","",IFERROR(VLOOKUP($F162,'Référentiel VGP'!$A$2:$B$15,2,FALSE),""))</f>
        <v/>
      </c>
      <c r="H162" s="6"/>
      <c r="I162" s="7" t="str">
        <f>IF(OR($H162="",NOT(ISNUMBER($G162))),"",EDATE($H162,$G162))</f>
        <v/>
      </c>
      <c r="J162" s="5" t="str">
        <f>IF($I162="","",$I162-TODAY())</f>
        <v/>
      </c>
      <c r="K162" s="8" t="str">
        <f>IF($F162="","",IF(NOT(ISNUMBER($G162)),"Hors champ",IF($H162="","À renseigner",IF($J162&lt;0,"Dépassée",IF($J162&lt;=30,"À planifier","À jour")))))</f>
        <v/>
      </c>
    </row>
    <row r="163" spans="6:12" x14ac:dyDescent="0.25">
      <c r="G163" s="5" t="str">
        <f>IF($F163="","",IFERROR(VLOOKUP($F163,'Référentiel VGP'!$A$2:$B$15,2,FALSE),""))</f>
        <v/>
      </c>
      <c r="H163" s="6"/>
      <c r="I163" s="7" t="str">
        <f>IF(OR($H163="",NOT(ISNUMBER($G163))),"",EDATE($H163,$G163))</f>
        <v/>
      </c>
      <c r="J163" s="5" t="str">
        <f>IF($I163="","",$I163-TODAY())</f>
        <v/>
      </c>
      <c r="K163" s="8" t="str">
        <f>IF($F163="","",IF(NOT(ISNUMBER($G163)),"Hors champ",IF($H163="","À renseigner",IF($J163&lt;0,"Dépassée",IF($J163&lt;=30,"À planifier","À jour")))))</f>
        <v/>
      </c>
    </row>
    <row r="164" spans="6:12" x14ac:dyDescent="0.25">
      <c r="G164" s="5" t="str">
        <f>IF($F164="","",IFERROR(VLOOKUP($F164,'Référentiel VGP'!$A$2:$B$15,2,FALSE),""))</f>
        <v/>
      </c>
      <c r="H164" s="6"/>
      <c r="I164" s="7" t="str">
        <f>IF(OR($H164="",NOT(ISNUMBER($G164))),"",EDATE($H164,$G164))</f>
        <v/>
      </c>
      <c r="J164" s="5" t="str">
        <f>IF($I164="","",$I164-TODAY())</f>
        <v/>
      </c>
      <c r="K164" s="8" t="str">
        <f>IF($F164="","",IF(NOT(ISNUMBER($G164)),"Hors champ",IF($H164="","À renseigner",IF($J164&lt;0,"Dépassée",IF($J164&lt;=30,"À planifier","À jour")))))</f>
        <v/>
      </c>
    </row>
    <row r="165" spans="6:12" x14ac:dyDescent="0.25">
      <c r="G165" s="5" t="str">
        <f>IF($F165="","",IFERROR(VLOOKUP($F165,'Référentiel VGP'!$A$2:$B$15,2,FALSE),""))</f>
        <v/>
      </c>
      <c r="H165" s="6"/>
      <c r="I165" s="7" t="str">
        <f>IF(OR($H165="",NOT(ISNUMBER($G165))),"",EDATE($H165,$G165))</f>
        <v/>
      </c>
      <c r="J165" s="5" t="str">
        <f>IF($I165="","",$I165-TODAY())</f>
        <v/>
      </c>
      <c r="K165" s="8" t="str">
        <f>IF($F165="","",IF(NOT(ISNUMBER($G165)),"Hors champ",IF($H165="","À renseigner",IF($J165&lt;0,"Dépassée",IF($J165&lt;=30,"À planifier","À jour")))))</f>
        <v/>
      </c>
    </row>
    <row r="166" spans="6:12" x14ac:dyDescent="0.25">
      <c r="G166" s="5" t="str">
        <f>IF($F166="","",IFERROR(VLOOKUP($F166,'Référentiel VGP'!$A$2:$B$15,2,FALSE),""))</f>
        <v/>
      </c>
      <c r="H166" s="6"/>
      <c r="I166" s="7" t="str">
        <f>IF(OR($H166="",NOT(ISNUMBER($G166))),"",EDATE($H166,$G166))</f>
        <v/>
      </c>
      <c r="J166" s="5" t="str">
        <f>IF($I166="","",$I166-TODAY())</f>
        <v/>
      </c>
      <c r="K166" s="8" t="str">
        <f>IF($F166="","",IF(NOT(ISNUMBER($G166)),"Hors champ",IF($H166="","À renseigner",IF($J166&lt;0,"Dépassée",IF($J166&lt;=30,"À planifier","À jour")))))</f>
        <v/>
      </c>
    </row>
    <row r="167" spans="6:12" x14ac:dyDescent="0.25">
      <c r="G167" s="5" t="str">
        <f>IF($F167="","",IFERROR(VLOOKUP($F167,'Référentiel VGP'!$A$2:$B$15,2,FALSE),""))</f>
        <v/>
      </c>
      <c r="H167" s="6"/>
      <c r="I167" s="7" t="str">
        <f>IF(OR($H167="",NOT(ISNUMBER($G167))),"",EDATE($H167,$G167))</f>
        <v/>
      </c>
      <c r="J167" s="5" t="str">
        <f>IF($I167="","",$I167-TODAY())</f>
        <v/>
      </c>
      <c r="K167" s="8" t="str">
        <f>IF($F167="","",IF(NOT(ISNUMBER($G167)),"Hors champ",IF($H167="","À renseigner",IF($J167&lt;0,"Dépassée",IF($J167&lt;=30,"À planifier","À jour")))))</f>
        <v/>
      </c>
    </row>
    <row r="168" spans="6:12" x14ac:dyDescent="0.25">
      <c r="G168" s="5" t="str">
        <f>IF($F168="","",IFERROR(VLOOKUP($F168,'Référentiel VGP'!$A$2:$B$15,2,FALSE),""))</f>
        <v/>
      </c>
      <c r="H168" s="6"/>
      <c r="I168" s="7" t="str">
        <f>IF(OR($H168="",NOT(ISNUMBER($G168))),"",EDATE($H168,$G168))</f>
        <v/>
      </c>
      <c r="J168" s="5" t="str">
        <f>IF($I168="","",$I168-TODAY())</f>
        <v/>
      </c>
      <c r="K168" s="8" t="str">
        <f>IF($F168="","",IF(NOT(ISNUMBER($G168)),"Hors champ",IF($H168="","À renseigner",IF($J168&lt;0,"Dépassée",IF($J168&lt;=30,"À planifier","À jour")))))</f>
        <v/>
      </c>
    </row>
    <row r="169" spans="6:12" x14ac:dyDescent="0.25">
      <c r="G169" s="5" t="str">
        <f>IF($F169="","",IFERROR(VLOOKUP($F169,'Référentiel VGP'!$A$2:$B$15,2,FALSE),""))</f>
        <v/>
      </c>
      <c r="H169" s="6"/>
      <c r="I169" s="7" t="str">
        <f>IF(OR($H169="",NOT(ISNUMBER($G169))),"",EDATE($H169,$G169))</f>
        <v/>
      </c>
      <c r="J169" s="5" t="str">
        <f>IF($I169="","",$I169-TODAY())</f>
        <v/>
      </c>
      <c r="K169" s="8" t="str">
        <f>IF($F169="","",IF(NOT(ISNUMBER($G169)),"Hors champ",IF($H169="","À renseigner",IF($J169&lt;0,"Dépassée",IF($J169&lt;=30,"À planifier","À jour")))))</f>
        <v/>
      </c>
    </row>
    <row r="170" spans="6:12" x14ac:dyDescent="0.25">
      <c r="G170" s="5" t="str">
        <f>IF($F170="","",IFERROR(VLOOKUP($F170,'Référentiel VGP'!$A$2:$B$15,2,FALSE),""))</f>
        <v/>
      </c>
      <c r="H170" s="6"/>
      <c r="I170" s="7" t="str">
        <f>IF(OR($H170="",NOT(ISNUMBER($G170))),"",EDATE($H170,$G170))</f>
        <v/>
      </c>
      <c r="J170" s="5" t="str">
        <f>IF($I170="","",$I170-TODAY())</f>
        <v/>
      </c>
      <c r="K170" s="8" t="str">
        <f>IF($F170="","",IF(NOT(ISNUMBER($G170)),"Hors champ",IF($H170="","À renseigner",IF($J170&lt;0,"Dépassée",IF($J170&lt;=30,"À planifier","À jour")))))</f>
        <v/>
      </c>
    </row>
    <row r="171" spans="6:12" x14ac:dyDescent="0.25">
      <c r="G171" s="5" t="str">
        <f>IF($F171="","",IFERROR(VLOOKUP($F171,'Référentiel VGP'!$A$2:$B$15,2,FALSE),""))</f>
        <v/>
      </c>
      <c r="H171" s="6"/>
      <c r="I171" s="7" t="str">
        <f>IF(OR($H171="",NOT(ISNUMBER($G171))),"",EDATE($H171,$G171))</f>
        <v/>
      </c>
      <c r="J171" s="5" t="str">
        <f>IF($I171="","",$I171-TODAY())</f>
        <v/>
      </c>
      <c r="K171" s="8" t="str">
        <f>IF($F171="","",IF(NOT(ISNUMBER($G171)),"Hors champ",IF($H171="","À renseigner",IF($J171&lt;0,"Dépassée",IF($J171&lt;=30,"À planifier","À jour")))))</f>
        <v/>
      </c>
    </row>
    <row r="172" spans="6:12" x14ac:dyDescent="0.25">
      <c r="G172" s="5" t="str">
        <f>IF($F172="","",IFERROR(VLOOKUP($F172,'Référentiel VGP'!$A$2:$B$15,2,FALSE),""))</f>
        <v/>
      </c>
      <c r="H172" s="6"/>
      <c r="I172" s="7" t="str">
        <f>IF(OR($H172="",NOT(ISNUMBER($G172))),"",EDATE($H172,$G172))</f>
        <v/>
      </c>
      <c r="J172" s="5" t="str">
        <f>IF($I172="","",$I172-TODAY())</f>
        <v/>
      </c>
      <c r="K172" s="8" t="str">
        <f>IF($F172="","",IF(NOT(ISNUMBER($G172)),"Hors champ",IF($H172="","À renseigner",IF($J172&lt;0,"Dépassée",IF($J172&lt;=30,"À planifier","À jour")))))</f>
        <v/>
      </c>
    </row>
    <row r="173" spans="6:12" x14ac:dyDescent="0.25">
      <c r="G173" s="5" t="str">
        <f>IF($F173="","",IFERROR(VLOOKUP($F173,'Référentiel VGP'!$A$2:$B$15,2,FALSE),""))</f>
        <v/>
      </c>
      <c r="H173" s="6"/>
      <c r="I173" s="7" t="str">
        <f>IF(OR($H173="",NOT(ISNUMBER($G173))),"",EDATE($H173,$G173))</f>
        <v/>
      </c>
      <c r="J173" s="5" t="str">
        <f>IF($I173="","",$I173-TODAY())</f>
        <v/>
      </c>
      <c r="K173" s="8" t="str">
        <f>IF($F173="","",IF(NOT(ISNUMBER($G173)),"Hors champ",IF($H173="","À renseigner",IF($J173&lt;0,"Dépassée",IF($J173&lt;=30,"À planifier","À jour")))))</f>
        <v/>
      </c>
    </row>
    <row r="174" spans="6:12" x14ac:dyDescent="0.25">
      <c r="G174" s="5" t="str">
        <f>IF($F174="","",IFERROR(VLOOKUP($F174,'Référentiel VGP'!$A$2:$B$15,2,FALSE),""))</f>
        <v/>
      </c>
      <c r="H174" s="6"/>
      <c r="I174" s="7" t="str">
        <f>IF(OR($H174="",NOT(ISNUMBER($G174))),"",EDATE($H174,$G174))</f>
        <v/>
      </c>
      <c r="J174" s="5" t="str">
        <f>IF($I174="","",$I174-TODAY())</f>
        <v/>
      </c>
      <c r="K174" s="8" t="str">
        <f>IF($F174="","",IF(NOT(ISNUMBER($G174)),"Hors champ",IF($H174="","À renseigner",IF($J174&lt;0,"Dépassée",IF($J174&lt;=30,"À planifier","À jour")))))</f>
        <v/>
      </c>
    </row>
    <row r="175" spans="6:12" x14ac:dyDescent="0.25">
      <c r="G175" s="5" t="str">
        <f>IF($F175="","",IFERROR(VLOOKUP($F175,'Référentiel VGP'!$A$2:$B$15,2,FALSE),""))</f>
        <v/>
      </c>
      <c r="H175" s="6"/>
      <c r="I175" s="7" t="str">
        <f>IF(OR($H175="",NOT(ISNUMBER($G175))),"",EDATE($H175,$G175))</f>
        <v/>
      </c>
      <c r="J175" s="5" t="str">
        <f>IF($I175="","",$I175-TODAY())</f>
        <v/>
      </c>
      <c r="K175" s="8" t="str">
        <f>IF($F175="","",IF(NOT(ISNUMBER($G175)),"Hors champ",IF($H175="","À renseigner",IF($J175&lt;0,"Dépassée",IF($J175&lt;=30,"À planifier","À jour")))))</f>
        <v/>
      </c>
    </row>
    <row r="176" spans="6:12" x14ac:dyDescent="0.25">
      <c r="G176" s="5" t="str">
        <f>IF($F176="","",IFERROR(VLOOKUP($F176,'Référentiel VGP'!$A$2:$B$15,2,FALSE),""))</f>
        <v/>
      </c>
      <c r="H176" s="6"/>
      <c r="I176" s="7" t="str">
        <f>IF(OR($H176="",NOT(ISNUMBER($G176))),"",EDATE($H176,$G176))</f>
        <v/>
      </c>
      <c r="J176" s="5" t="str">
        <f>IF($I176="","",$I176-TODAY())</f>
        <v/>
      </c>
      <c r="K176" s="8" t="str">
        <f>IF($F176="","",IF(NOT(ISNUMBER($G176)),"Hors champ",IF($H176="","À renseigner",IF($J176&lt;0,"Dépassée",IF($J176&lt;=30,"À planifier","À jour")))))</f>
        <v/>
      </c>
    </row>
    <row r="177" spans="6:12" x14ac:dyDescent="0.25">
      <c r="G177" s="5" t="str">
        <f>IF($F177="","",IFERROR(VLOOKUP($F177,'Référentiel VGP'!$A$2:$B$15,2,FALSE),""))</f>
        <v/>
      </c>
      <c r="H177" s="6"/>
      <c r="I177" s="7" t="str">
        <f>IF(OR($H177="",NOT(ISNUMBER($G177))),"",EDATE($H177,$G177))</f>
        <v/>
      </c>
      <c r="J177" s="5" t="str">
        <f>IF($I177="","",$I177-TODAY())</f>
        <v/>
      </c>
      <c r="K177" s="8" t="str">
        <f>IF($F177="","",IF(NOT(ISNUMBER($G177)),"Hors champ",IF($H177="","À renseigner",IF($J177&lt;0,"Dépassée",IF($J177&lt;=30,"À planifier","À jour")))))</f>
        <v/>
      </c>
    </row>
    <row r="178" spans="6:12" x14ac:dyDescent="0.25">
      <c r="G178" s="5" t="str">
        <f>IF($F178="","",IFERROR(VLOOKUP($F178,'Référentiel VGP'!$A$2:$B$15,2,FALSE),""))</f>
        <v/>
      </c>
      <c r="H178" s="6"/>
      <c r="I178" s="7" t="str">
        <f>IF(OR($H178="",NOT(ISNUMBER($G178))),"",EDATE($H178,$G178))</f>
        <v/>
      </c>
      <c r="J178" s="5" t="str">
        <f>IF($I178="","",$I178-TODAY())</f>
        <v/>
      </c>
      <c r="K178" s="8" t="str">
        <f>IF($F178="","",IF(NOT(ISNUMBER($G178)),"Hors champ",IF($H178="","À renseigner",IF($J178&lt;0,"Dépassée",IF($J178&lt;=30,"À planifier","À jour")))))</f>
        <v/>
      </c>
    </row>
    <row r="179" spans="6:12" x14ac:dyDescent="0.25">
      <c r="G179" s="5" t="str">
        <f>IF($F179="","",IFERROR(VLOOKUP($F179,'Référentiel VGP'!$A$2:$B$15,2,FALSE),""))</f>
        <v/>
      </c>
      <c r="H179" s="6"/>
      <c r="I179" s="7" t="str">
        <f>IF(OR($H179="",NOT(ISNUMBER($G179))),"",EDATE($H179,$G179))</f>
        <v/>
      </c>
      <c r="J179" s="5" t="str">
        <f>IF($I179="","",$I179-TODAY())</f>
        <v/>
      </c>
      <c r="K179" s="8" t="str">
        <f>IF($F179="","",IF(NOT(ISNUMBER($G179)),"Hors champ",IF($H179="","À renseigner",IF($J179&lt;0,"Dépassée",IF($J179&lt;=30,"À planifier","À jour")))))</f>
        <v/>
      </c>
    </row>
    <row r="180" spans="6:12" x14ac:dyDescent="0.25">
      <c r="G180" s="5" t="str">
        <f>IF($F180="","",IFERROR(VLOOKUP($F180,'Référentiel VGP'!$A$2:$B$15,2,FALSE),""))</f>
        <v/>
      </c>
      <c r="H180" s="6"/>
      <c r="I180" s="7" t="str">
        <f>IF(OR($H180="",NOT(ISNUMBER($G180))),"",EDATE($H180,$G180))</f>
        <v/>
      </c>
      <c r="J180" s="5" t="str">
        <f>IF($I180="","",$I180-TODAY())</f>
        <v/>
      </c>
      <c r="K180" s="8" t="str">
        <f>IF($F180="","",IF(NOT(ISNUMBER($G180)),"Hors champ",IF($H180="","À renseigner",IF($J180&lt;0,"Dépassée",IF($J180&lt;=30,"À planifier","À jour")))))</f>
        <v/>
      </c>
    </row>
    <row r="181" spans="6:12" x14ac:dyDescent="0.25">
      <c r="G181" s="5" t="str">
        <f>IF($F181="","",IFERROR(VLOOKUP($F181,'Référentiel VGP'!$A$2:$B$15,2,FALSE),""))</f>
        <v/>
      </c>
      <c r="H181" s="6"/>
      <c r="I181" s="7" t="str">
        <f>IF(OR($H181="",NOT(ISNUMBER($G181))),"",EDATE($H181,$G181))</f>
        <v/>
      </c>
      <c r="J181" s="5" t="str">
        <f>IF($I181="","",$I181-TODAY())</f>
        <v/>
      </c>
      <c r="K181" s="8" t="str">
        <f>IF($F181="","",IF(NOT(ISNUMBER($G181)),"Hors champ",IF($H181="","À renseigner",IF($J181&lt;0,"Dépassée",IF($J181&lt;=30,"À planifier","À jour")))))</f>
        <v/>
      </c>
    </row>
    <row r="182" spans="6:12" x14ac:dyDescent="0.25">
      <c r="G182" s="5" t="str">
        <f>IF($F182="","",IFERROR(VLOOKUP($F182,'Référentiel VGP'!$A$2:$B$15,2,FALSE),""))</f>
        <v/>
      </c>
      <c r="H182" s="6"/>
      <c r="I182" s="7" t="str">
        <f>IF(OR($H182="",NOT(ISNUMBER($G182))),"",EDATE($H182,$G182))</f>
        <v/>
      </c>
      <c r="J182" s="5" t="str">
        <f>IF($I182="","",$I182-TODAY())</f>
        <v/>
      </c>
      <c r="K182" s="8" t="str">
        <f>IF($F182="","",IF(NOT(ISNUMBER($G182)),"Hors champ",IF($H182="","À renseigner",IF($J182&lt;0,"Dépassée",IF($J182&lt;=30,"À planifier","À jour")))))</f>
        <v/>
      </c>
    </row>
    <row r="183" spans="6:12" x14ac:dyDescent="0.25">
      <c r="G183" s="5" t="str">
        <f>IF($F183="","",IFERROR(VLOOKUP($F183,'Référentiel VGP'!$A$2:$B$15,2,FALSE),""))</f>
        <v/>
      </c>
      <c r="H183" s="6"/>
      <c r="I183" s="7" t="str">
        <f>IF(OR($H183="",NOT(ISNUMBER($G183))),"",EDATE($H183,$G183))</f>
        <v/>
      </c>
      <c r="J183" s="5" t="str">
        <f>IF($I183="","",$I183-TODAY())</f>
        <v/>
      </c>
      <c r="K183" s="8" t="str">
        <f>IF($F183="","",IF(NOT(ISNUMBER($G183)),"Hors champ",IF($H183="","À renseigner",IF($J183&lt;0,"Dépassée",IF($J183&lt;=30,"À planifier","À jour")))))</f>
        <v/>
      </c>
    </row>
    <row r="184" spans="6:12" x14ac:dyDescent="0.25">
      <c r="G184" s="5" t="str">
        <f>IF($F184="","",IFERROR(VLOOKUP($F184,'Référentiel VGP'!$A$2:$B$15,2,FALSE),""))</f>
        <v/>
      </c>
      <c r="H184" s="6"/>
      <c r="I184" s="7" t="str">
        <f>IF(OR($H184="",NOT(ISNUMBER($G184))),"",EDATE($H184,$G184))</f>
        <v/>
      </c>
      <c r="J184" s="5" t="str">
        <f>IF($I184="","",$I184-TODAY())</f>
        <v/>
      </c>
      <c r="K184" s="8" t="str">
        <f>IF($F184="","",IF(NOT(ISNUMBER($G184)),"Hors champ",IF($H184="","À renseigner",IF($J184&lt;0,"Dépassée",IF($J184&lt;=30,"À planifier","À jour")))))</f>
        <v/>
      </c>
    </row>
    <row r="185" spans="6:12" x14ac:dyDescent="0.25">
      <c r="G185" s="5" t="str">
        <f>IF($F185="","",IFERROR(VLOOKUP($F185,'Référentiel VGP'!$A$2:$B$15,2,FALSE),""))</f>
        <v/>
      </c>
      <c r="H185" s="6"/>
      <c r="I185" s="7" t="str">
        <f>IF(OR($H185="",NOT(ISNUMBER($G185))),"",EDATE($H185,$G185))</f>
        <v/>
      </c>
      <c r="J185" s="5" t="str">
        <f>IF($I185="","",$I185-TODAY())</f>
        <v/>
      </c>
      <c r="K185" s="8" t="str">
        <f>IF($F185="","",IF(NOT(ISNUMBER($G185)),"Hors champ",IF($H185="","À renseigner",IF($J185&lt;0,"Dépassée",IF($J185&lt;=30,"À planifier","À jour")))))</f>
        <v/>
      </c>
    </row>
    <row r="186" spans="6:12" x14ac:dyDescent="0.25">
      <c r="G186" s="5" t="str">
        <f>IF($F186="","",IFERROR(VLOOKUP($F186,'Référentiel VGP'!$A$2:$B$15,2,FALSE),""))</f>
        <v/>
      </c>
      <c r="H186" s="6"/>
      <c r="I186" s="7" t="str">
        <f>IF(OR($H186="",NOT(ISNUMBER($G186))),"",EDATE($H186,$G186))</f>
        <v/>
      </c>
      <c r="J186" s="5" t="str">
        <f>IF($I186="","",$I186-TODAY())</f>
        <v/>
      </c>
      <c r="K186" s="8" t="str">
        <f>IF($F186="","",IF(NOT(ISNUMBER($G186)),"Hors champ",IF($H186="","À renseigner",IF($J186&lt;0,"Dépassée",IF($J186&lt;=30,"À planifier","À jour")))))</f>
        <v/>
      </c>
    </row>
    <row r="187" spans="6:12" x14ac:dyDescent="0.25">
      <c r="G187" s="5" t="str">
        <f>IF($F187="","",IFERROR(VLOOKUP($F187,'Référentiel VGP'!$A$2:$B$15,2,FALSE),""))</f>
        <v/>
      </c>
      <c r="H187" s="6"/>
      <c r="I187" s="7" t="str">
        <f>IF(OR($H187="",NOT(ISNUMBER($G187))),"",EDATE($H187,$G187))</f>
        <v/>
      </c>
      <c r="J187" s="5" t="str">
        <f>IF($I187="","",$I187-TODAY())</f>
        <v/>
      </c>
      <c r="K187" s="8" t="str">
        <f>IF($F187="","",IF(NOT(ISNUMBER($G187)),"Hors champ",IF($H187="","À renseigner",IF($J187&lt;0,"Dépassée",IF($J187&lt;=30,"À planifier","À jour")))))</f>
        <v/>
      </c>
    </row>
    <row r="188" spans="6:12" x14ac:dyDescent="0.25">
      <c r="G188" s="5" t="str">
        <f>IF($F188="","",IFERROR(VLOOKUP($F188,'Référentiel VGP'!$A$2:$B$15,2,FALSE),""))</f>
        <v/>
      </c>
      <c r="H188" s="6"/>
      <c r="I188" s="7" t="str">
        <f>IF(OR($H188="",NOT(ISNUMBER($G188))),"",EDATE($H188,$G188))</f>
        <v/>
      </c>
      <c r="J188" s="5" t="str">
        <f>IF($I188="","",$I188-TODAY())</f>
        <v/>
      </c>
      <c r="K188" s="8" t="str">
        <f>IF($F188="","",IF(NOT(ISNUMBER($G188)),"Hors champ",IF($H188="","À renseigner",IF($J188&lt;0,"Dépassée",IF($J188&lt;=30,"À planifier","À jour")))))</f>
        <v/>
      </c>
    </row>
    <row r="189" spans="6:12" x14ac:dyDescent="0.25">
      <c r="G189" s="5" t="str">
        <f>IF($F189="","",IFERROR(VLOOKUP($F189,'Référentiel VGP'!$A$2:$B$15,2,FALSE),""))</f>
        <v/>
      </c>
      <c r="H189" s="6"/>
      <c r="I189" s="7" t="str">
        <f>IF(OR($H189="",NOT(ISNUMBER($G189))),"",EDATE($H189,$G189))</f>
        <v/>
      </c>
      <c r="J189" s="5" t="str">
        <f>IF($I189="","",$I189-TODAY())</f>
        <v/>
      </c>
      <c r="K189" s="8" t="str">
        <f>IF($F189="","",IF(NOT(ISNUMBER($G189)),"Hors champ",IF($H189="","À renseigner",IF($J189&lt;0,"Dépassée",IF($J189&lt;=30,"À planifier","À jour")))))</f>
        <v/>
      </c>
    </row>
    <row r="190" spans="6:12" x14ac:dyDescent="0.25">
      <c r="G190" s="5" t="str">
        <f>IF($F190="","",IFERROR(VLOOKUP($F190,'Référentiel VGP'!$A$2:$B$15,2,FALSE),""))</f>
        <v/>
      </c>
      <c r="H190" s="6"/>
      <c r="I190" s="7" t="str">
        <f>IF(OR($H190="",NOT(ISNUMBER($G190))),"",EDATE($H190,$G190))</f>
        <v/>
      </c>
      <c r="J190" s="5" t="str">
        <f>IF($I190="","",$I190-TODAY())</f>
        <v/>
      </c>
      <c r="K190" s="8" t="str">
        <f>IF($F190="","",IF(NOT(ISNUMBER($G190)),"Hors champ",IF($H190="","À renseigner",IF($J190&lt;0,"Dépassée",IF($J190&lt;=30,"À planifier","À jour")))))</f>
        <v/>
      </c>
    </row>
    <row r="191" spans="6:12" x14ac:dyDescent="0.25">
      <c r="G191" s="5" t="str">
        <f>IF($F191="","",IFERROR(VLOOKUP($F191,'Référentiel VGP'!$A$2:$B$15,2,FALSE),""))</f>
        <v/>
      </c>
      <c r="H191" s="6"/>
      <c r="I191" s="7" t="str">
        <f>IF(OR($H191="",NOT(ISNUMBER($G191))),"",EDATE($H191,$G191))</f>
        <v/>
      </c>
      <c r="J191" s="5" t="str">
        <f>IF($I191="","",$I191-TODAY())</f>
        <v/>
      </c>
      <c r="K191" s="8" t="str">
        <f>IF($F191="","",IF(NOT(ISNUMBER($G191)),"Hors champ",IF($H191="","À renseigner",IF($J191&lt;0,"Dépassée",IF($J191&lt;=30,"À planifier","À jour")))))</f>
        <v/>
      </c>
    </row>
    <row r="192" spans="6:12" x14ac:dyDescent="0.25">
      <c r="G192" s="5" t="str">
        <f>IF($F192="","",IFERROR(VLOOKUP($F192,'Référentiel VGP'!$A$2:$B$15,2,FALSE),""))</f>
        <v/>
      </c>
      <c r="H192" s="6"/>
      <c r="I192" s="7" t="str">
        <f>IF(OR($H192="",NOT(ISNUMBER($G192))),"",EDATE($H192,$G192))</f>
        <v/>
      </c>
      <c r="J192" s="5" t="str">
        <f>IF($I192="","",$I192-TODAY())</f>
        <v/>
      </c>
      <c r="K192" s="8" t="str">
        <f>IF($F192="","",IF(NOT(ISNUMBER($G192)),"Hors champ",IF($H192="","À renseigner",IF($J192&lt;0,"Dépassée",IF($J192&lt;=30,"À planifier","À jour")))))</f>
        <v/>
      </c>
    </row>
    <row r="193" spans="6:12" x14ac:dyDescent="0.25">
      <c r="G193" s="5" t="str">
        <f>IF($F193="","",IFERROR(VLOOKUP($F193,'Référentiel VGP'!$A$2:$B$15,2,FALSE),""))</f>
        <v/>
      </c>
      <c r="H193" s="6"/>
      <c r="I193" s="7" t="str">
        <f>IF(OR($H193="",NOT(ISNUMBER($G193))),"",EDATE($H193,$G193))</f>
        <v/>
      </c>
      <c r="J193" s="5" t="str">
        <f>IF($I193="","",$I193-TODAY())</f>
        <v/>
      </c>
      <c r="K193" s="8" t="str">
        <f>IF($F193="","",IF(NOT(ISNUMBER($G193)),"Hors champ",IF($H193="","À renseigner",IF($J193&lt;0,"Dépassée",IF($J193&lt;=30,"À planifier","À jour")))))</f>
        <v/>
      </c>
    </row>
    <row r="194" spans="6:12" x14ac:dyDescent="0.25">
      <c r="G194" s="5" t="str">
        <f>IF($F194="","",IFERROR(VLOOKUP($F194,'Référentiel VGP'!$A$2:$B$15,2,FALSE),""))</f>
        <v/>
      </c>
      <c r="H194" s="6"/>
      <c r="I194" s="7" t="str">
        <f>IF(OR($H194="",NOT(ISNUMBER($G194))),"",EDATE($H194,$G194))</f>
        <v/>
      </c>
      <c r="J194" s="5" t="str">
        <f>IF($I194="","",$I194-TODAY())</f>
        <v/>
      </c>
      <c r="K194" s="8" t="str">
        <f>IF($F194="","",IF(NOT(ISNUMBER($G194)),"Hors champ",IF($H194="","À renseigner",IF($J194&lt;0,"Dépassée",IF($J194&lt;=30,"À planifier","À jour")))))</f>
        <v/>
      </c>
    </row>
    <row r="195" spans="6:12" x14ac:dyDescent="0.25">
      <c r="G195" s="5" t="str">
        <f>IF($F195="","",IFERROR(VLOOKUP($F195,'Référentiel VGP'!$A$2:$B$15,2,FALSE),""))</f>
        <v/>
      </c>
      <c r="H195" s="6"/>
      <c r="I195" s="7" t="str">
        <f>IF(OR($H195="",NOT(ISNUMBER($G195))),"",EDATE($H195,$G195))</f>
        <v/>
      </c>
      <c r="J195" s="5" t="str">
        <f>IF($I195="","",$I195-TODAY())</f>
        <v/>
      </c>
      <c r="K195" s="8" t="str">
        <f>IF($F195="","",IF(NOT(ISNUMBER($G195)),"Hors champ",IF($H195="","À renseigner",IF($J195&lt;0,"Dépassée",IF($J195&lt;=30,"À planifier","À jour")))))</f>
        <v/>
      </c>
    </row>
    <row r="196" spans="6:12" x14ac:dyDescent="0.25">
      <c r="G196" s="5" t="str">
        <f>IF($F196="","",IFERROR(VLOOKUP($F196,'Référentiel VGP'!$A$2:$B$15,2,FALSE),""))</f>
        <v/>
      </c>
      <c r="H196" s="6"/>
      <c r="I196" s="7" t="str">
        <f>IF(OR($H196="",NOT(ISNUMBER($G196))),"",EDATE($H196,$G196))</f>
        <v/>
      </c>
      <c r="J196" s="5" t="str">
        <f>IF($I196="","",$I196-TODAY())</f>
        <v/>
      </c>
      <c r="K196" s="8" t="str">
        <f>IF($F196="","",IF(NOT(ISNUMBER($G196)),"Hors champ",IF($H196="","À renseigner",IF($J196&lt;0,"Dépassée",IF($J196&lt;=30,"À planifier","À jour")))))</f>
        <v/>
      </c>
    </row>
    <row r="197" spans="6:12" x14ac:dyDescent="0.25">
      <c r="G197" s="5" t="str">
        <f>IF($F197="","",IFERROR(VLOOKUP($F197,'Référentiel VGP'!$A$2:$B$15,2,FALSE),""))</f>
        <v/>
      </c>
      <c r="H197" s="6"/>
      <c r="I197" s="7" t="str">
        <f>IF(OR($H197="",NOT(ISNUMBER($G197))),"",EDATE($H197,$G197))</f>
        <v/>
      </c>
      <c r="J197" s="5" t="str">
        <f>IF($I197="","",$I197-TODAY())</f>
        <v/>
      </c>
      <c r="K197" s="8" t="str">
        <f>IF($F197="","",IF(NOT(ISNUMBER($G197)),"Hors champ",IF($H197="","À renseigner",IF($J197&lt;0,"Dépassée",IF($J197&lt;=30,"À planifier","À jour")))))</f>
        <v/>
      </c>
    </row>
    <row r="198" spans="6:12" x14ac:dyDescent="0.25">
      <c r="G198" s="5" t="str">
        <f>IF($F198="","",IFERROR(VLOOKUP($F198,'Référentiel VGP'!$A$2:$B$15,2,FALSE),""))</f>
        <v/>
      </c>
      <c r="H198" s="6"/>
      <c r="I198" s="7" t="str">
        <f>IF(OR($H198="",NOT(ISNUMBER($G198))),"",EDATE($H198,$G198))</f>
        <v/>
      </c>
      <c r="J198" s="5" t="str">
        <f>IF($I198="","",$I198-TODAY())</f>
        <v/>
      </c>
      <c r="K198" s="8" t="str">
        <f>IF($F198="","",IF(NOT(ISNUMBER($G198)),"Hors champ",IF($H198="","À renseigner",IF($J198&lt;0,"Dépassée",IF($J198&lt;=30,"À planifier","À jour")))))</f>
        <v/>
      </c>
    </row>
    <row r="199" spans="6:12" x14ac:dyDescent="0.25">
      <c r="G199" s="5" t="str">
        <f>IF($F199="","",IFERROR(VLOOKUP($F199,'Référentiel VGP'!$A$2:$B$15,2,FALSE),""))</f>
        <v/>
      </c>
      <c r="H199" s="6"/>
      <c r="I199" s="7" t="str">
        <f>IF(OR($H199="",NOT(ISNUMBER($G199))),"",EDATE($H199,$G199))</f>
        <v/>
      </c>
      <c r="J199" s="5" t="str">
        <f>IF($I199="","",$I199-TODAY())</f>
        <v/>
      </c>
      <c r="K199" s="8" t="str">
        <f>IF($F199="","",IF(NOT(ISNUMBER($G199)),"Hors champ",IF($H199="","À renseigner",IF($J199&lt;0,"Dépassée",IF($J199&lt;=30,"À planifier","À jour")))))</f>
        <v/>
      </c>
    </row>
    <row r="200" spans="6:12" x14ac:dyDescent="0.25">
      <c r="G200" s="5" t="str">
        <f>IF($F200="","",IFERROR(VLOOKUP($F200,'Référentiel VGP'!$A$2:$B$15,2,FALSE),""))</f>
        <v/>
      </c>
      <c r="H200" s="6"/>
      <c r="I200" s="7" t="str">
        <f>IF(OR($H200="",NOT(ISNUMBER($G200))),"",EDATE($H200,$G200))</f>
        <v/>
      </c>
      <c r="J200" s="5" t="str">
        <f>IF($I200="","",$I200-TODAY())</f>
        <v/>
      </c>
      <c r="K200" s="8" t="str">
        <f>IF($F200="","",IF(NOT(ISNUMBER($G200)),"Hors champ",IF($H200="","À renseigner",IF($J200&lt;0,"Dépassée",IF($J200&lt;=30,"À planifier","À jour")))))</f>
        <v/>
      </c>
    </row>
  </sheetData>
  <autoFilter ref="A1:N200"/>
  <conditionalFormatting sqref="A2:N200">
    <cfRule type="expression" dxfId="0" priority="1">
      <formula>$K2="Dépassée"</formula>
    </cfRule>
    <cfRule type="expression" dxfId="1" priority="2">
      <formula>$K2="À planifier"</formula>
    </cfRule>
    <cfRule type="expression" dxfId="2" priority="3">
      <formula>$K2="À jour"</formula>
    </cfRule>
    <cfRule type="expression" dxfId="3" priority="4">
      <formula>OR($K2="Hors champ",$K2="À renseigner")</formula>
    </cfRule>
  </conditionalFormatting>
  <dataValidations count="4">
    <dataValidation type="list" allowBlank="1" showErrorMessage="1" errorTitle="Type non reconnu" error="Choisissez un type dans la liste. La périodicité en dépend. Utilisez « Autre (à qualifier) » si l'équipement n'y figure pas." sqref="F10:F200">
      <formula1>'Référentiel VGP'!$A$2:$A$15</formula1>
    </dataValidation>
    <dataValidation type="list" allowBlank="1" showErrorMessage="1" errorTitle="Type non reconnu" error="Choisissez un type dans la liste. La périodicité en dépend. Utilisez « Autre (à qualifier) » si l'équipement n'y figure pas." sqref="F2:F200">
      <formula1>'Référentiel VGP'!$A$2:$A$15</formula1>
    </dataValidation>
    <dataValidation type="list" allowBlank="1" sqref="L10:L200">
      <formula1>"Loueur,Locataire,Interne"</formula1>
    </dataValidation>
    <dataValidation type="list" allowBlank="1" sqref="L2:L200">
      <formula1>"Loueur,Locataire,Interne"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2730"/>
  </sheetPr>
  <dimension ref="A1:E15"/>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18" customWidth="1"/>
    <col min="3" max="3" width="40" customWidth="1"/>
    <col min="4" max="4" width="62" customWidth="1"/>
    <col min="5" max="5" width="52" customWidth="1"/>
  </cols>
  <sheetData>
    <row r="1" ht="34" customHeight="1" spans="1:5" x14ac:dyDescent="0.25">
      <c r="A1" s="4" t="s">
        <v>83</v>
      </c>
      <c r="B1" s="4" t="s">
        <v>30</v>
      </c>
      <c r="C1" s="4" t="s">
        <v>84</v>
      </c>
      <c r="D1" s="4" t="s">
        <v>85</v>
      </c>
      <c r="E1" s="4" t="s">
        <v>86</v>
      </c>
    </row>
    <row r="2" ht="18" customHeight="1" spans="1:5" x14ac:dyDescent="0.25">
      <c r="A2" t="s">
        <v>43</v>
      </c>
      <c r="B2" s="9">
        <v>6</v>
      </c>
      <c r="C2" t="s">
        <v>87</v>
      </c>
      <c r="D2" s="2" t="s">
        <v>76</v>
      </c>
      <c r="E2" s="10" t="s">
        <v>88</v>
      </c>
    </row>
    <row r="3" ht="18" customHeight="1" spans="1:5" x14ac:dyDescent="0.25">
      <c r="A3" t="s">
        <v>52</v>
      </c>
      <c r="B3" s="9">
        <v>6</v>
      </c>
      <c r="C3" t="s">
        <v>87</v>
      </c>
      <c r="D3" s="2" t="s">
        <v>76</v>
      </c>
      <c r="E3" s="10" t="s">
        <v>89</v>
      </c>
    </row>
    <row r="4" ht="18" customHeight="1" spans="1:5" x14ac:dyDescent="0.25">
      <c r="A4" t="s">
        <v>74</v>
      </c>
      <c r="B4" s="9">
        <v>6</v>
      </c>
      <c r="C4" t="s">
        <v>87</v>
      </c>
      <c r="D4" s="2" t="s">
        <v>76</v>
      </c>
      <c r="E4" s="10" t="s">
        <v>90</v>
      </c>
    </row>
    <row r="5" ht="34" customHeight="1" spans="1:5" x14ac:dyDescent="0.25">
      <c r="A5" t="s">
        <v>67</v>
      </c>
      <c r="B5" s="9">
        <v>6</v>
      </c>
      <c r="C5" t="s">
        <v>87</v>
      </c>
      <c r="D5" s="2" t="s">
        <v>91</v>
      </c>
      <c r="E5" s="10" t="s">
        <v>92</v>
      </c>
    </row>
    <row r="6" ht="18" customHeight="1" spans="1:5" x14ac:dyDescent="0.25">
      <c r="A6" t="s">
        <v>93</v>
      </c>
      <c r="B6" s="9">
        <v>6</v>
      </c>
      <c r="C6" t="s">
        <v>87</v>
      </c>
      <c r="D6" s="2" t="s">
        <v>76</v>
      </c>
      <c r="E6" s="10" t="s">
        <v>94</v>
      </c>
    </row>
    <row r="7" ht="18" customHeight="1" spans="1:4" x14ac:dyDescent="0.25">
      <c r="A7" t="s">
        <v>95</v>
      </c>
      <c r="B7" s="9">
        <v>6</v>
      </c>
      <c r="C7" t="s">
        <v>87</v>
      </c>
      <c r="D7" s="2" t="s">
        <v>76</v>
      </c>
    </row>
    <row r="8" ht="34" customHeight="1" spans="1:4" x14ac:dyDescent="0.25">
      <c r="A8" t="s">
        <v>96</v>
      </c>
      <c r="B8" s="9">
        <v>6</v>
      </c>
      <c r="C8" t="s">
        <v>87</v>
      </c>
      <c r="D8" s="2" t="s">
        <v>97</v>
      </c>
    </row>
    <row r="9" ht="18" customHeight="1" spans="1:5" x14ac:dyDescent="0.25">
      <c r="A9" t="s">
        <v>98</v>
      </c>
      <c r="B9" s="9">
        <v>12</v>
      </c>
      <c r="C9" t="s">
        <v>99</v>
      </c>
      <c r="D9" s="2" t="s">
        <v>76</v>
      </c>
      <c r="E9" s="10" t="s">
        <v>100</v>
      </c>
    </row>
    <row r="10" ht="34" customHeight="1" spans="1:5" x14ac:dyDescent="0.25">
      <c r="A10" t="s">
        <v>60</v>
      </c>
      <c r="B10" s="9">
        <v>12</v>
      </c>
      <c r="C10" t="s">
        <v>101</v>
      </c>
      <c r="D10" s="2" t="s">
        <v>102</v>
      </c>
      <c r="E10" s="10" t="s">
        <v>103</v>
      </c>
    </row>
    <row r="11" ht="18" customHeight="1" spans="1:5" x14ac:dyDescent="0.25">
      <c r="A11" t="s">
        <v>104</v>
      </c>
      <c r="B11" s="9">
        <v>12</v>
      </c>
      <c r="C11" t="s">
        <v>101</v>
      </c>
      <c r="D11" s="2" t="s">
        <v>76</v>
      </c>
      <c r="E11" s="10" t="s">
        <v>105</v>
      </c>
    </row>
    <row r="12" ht="34" customHeight="1" spans="1:5" x14ac:dyDescent="0.25">
      <c r="A12" t="s">
        <v>106</v>
      </c>
      <c r="B12" s="9">
        <v>3</v>
      </c>
      <c r="C12" t="s">
        <v>107</v>
      </c>
      <c r="D12" s="2" t="s">
        <v>108</v>
      </c>
      <c r="E12" s="10" t="s">
        <v>109</v>
      </c>
    </row>
    <row r="13" ht="34" customHeight="1" spans="1:4" x14ac:dyDescent="0.25">
      <c r="A13" t="s">
        <v>79</v>
      </c>
      <c r="B13" s="11" t="s">
        <v>110</v>
      </c>
      <c r="C13" t="s">
        <v>111</v>
      </c>
      <c r="D13" s="2" t="s">
        <v>112</v>
      </c>
    </row>
    <row r="14" ht="34" customHeight="1" spans="1:4" x14ac:dyDescent="0.25">
      <c r="A14" t="s">
        <v>113</v>
      </c>
      <c r="B14" s="11" t="s">
        <v>110</v>
      </c>
      <c r="C14" t="s">
        <v>114</v>
      </c>
      <c r="D14" s="2" t="s">
        <v>112</v>
      </c>
    </row>
    <row r="15" ht="34" customHeight="1" spans="1:4" x14ac:dyDescent="0.25">
      <c r="A15" t="s">
        <v>115</v>
      </c>
      <c r="B15" s="11" t="s">
        <v>110</v>
      </c>
      <c r="C15" t="s">
        <v>116</v>
      </c>
      <c r="D15" s="2" t="s">
        <v>117</v>
      </c>
    </row>
  </sheetData>
  <hyperlinks>
    <hyperlink ref="E2" r:id="rId1"/>
    <hyperlink ref="E3" r:id="rId2"/>
    <hyperlink ref="E4" r:id="rId3"/>
    <hyperlink ref="E5" r:id="rId4"/>
    <hyperlink ref="E6" r:id="rId5"/>
    <hyperlink ref="E9" r:id="rId6"/>
    <hyperlink ref="E10" r:id="rId7"/>
    <hyperlink ref="E11" r:id="rId8"/>
    <hyperlink ref="E12" r:id="rId9"/>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2730"/>
  </sheetPr>
  <dimension ref="A1:B24"/>
  <sheetFormatPr defaultRowHeight="15" outlineLevelRow="0" outlineLevelCol="0" x14ac:dyDescent="55"/>
  <cols>
    <col min="1" max="1" width="30" customWidth="1"/>
    <col min="2" max="2" width="118" customWidth="1"/>
  </cols>
  <sheetData>
    <row r="1" ht="18" customHeight="1" spans="1:2" x14ac:dyDescent="0.25">
      <c r="A1" s="12" t="s">
        <v>118</v>
      </c>
      <c r="B1" s="2" t="s">
        <v>119</v>
      </c>
    </row>
    <row r="2" ht="18" customHeight="1" spans="1:2" x14ac:dyDescent="0.25">
      <c r="A2" s="12" t="s">
        <v>76</v>
      </c>
      <c r="B2" s="2" t="s">
        <v>76</v>
      </c>
    </row>
    <row r="3" ht="18" customHeight="1" spans="1:2" x14ac:dyDescent="0.25">
      <c r="A3" s="12" t="s">
        <v>120</v>
      </c>
      <c r="B3" s="13" t="s">
        <v>121</v>
      </c>
    </row>
    <row r="4" ht="18" customHeight="1" spans="1:2" x14ac:dyDescent="0.25">
      <c r="A4" s="12" t="s">
        <v>122</v>
      </c>
      <c r="B4" s="2" t="s">
        <v>123</v>
      </c>
    </row>
    <row r="5" ht="32" customHeight="1" spans="1:2" x14ac:dyDescent="0.25">
      <c r="A5" s="12" t="s">
        <v>124</v>
      </c>
      <c r="B5" s="2" t="s">
        <v>125</v>
      </c>
    </row>
    <row r="6" ht="60" customHeight="1" spans="1:2" x14ac:dyDescent="0.25">
      <c r="A6" s="12" t="s">
        <v>126</v>
      </c>
      <c r="B6" s="2" t="s">
        <v>127</v>
      </c>
    </row>
    <row r="7" ht="60" customHeight="1" spans="1:2" x14ac:dyDescent="0.25">
      <c r="A7" s="12" t="s">
        <v>128</v>
      </c>
      <c r="B7" s="2" t="s">
        <v>129</v>
      </c>
    </row>
    <row r="8" ht="18" customHeight="1" spans="1:2" x14ac:dyDescent="0.25">
      <c r="A8" s="12" t="s">
        <v>130</v>
      </c>
      <c r="B8" s="2" t="s">
        <v>131</v>
      </c>
    </row>
    <row r="9" ht="18" customHeight="1" spans="1:2" x14ac:dyDescent="0.25">
      <c r="A9" s="12" t="s">
        <v>76</v>
      </c>
      <c r="B9" s="2" t="s">
        <v>76</v>
      </c>
    </row>
    <row r="10" ht="18" customHeight="1" spans="1:2" x14ac:dyDescent="0.25">
      <c r="A10" s="12" t="s">
        <v>120</v>
      </c>
      <c r="B10" s="13" t="s">
        <v>132</v>
      </c>
    </row>
    <row r="11" ht="60" customHeight="1" spans="1:2" x14ac:dyDescent="0.25">
      <c r="A11" s="12" t="s">
        <v>133</v>
      </c>
      <c r="B11" s="2" t="s">
        <v>134</v>
      </c>
    </row>
    <row r="12" ht="60" customHeight="1" spans="1:2" x14ac:dyDescent="0.25">
      <c r="A12" s="12" t="s">
        <v>135</v>
      </c>
      <c r="B12" s="2" t="s">
        <v>136</v>
      </c>
    </row>
    <row r="13" ht="60" customHeight="1" spans="1:2" x14ac:dyDescent="0.25">
      <c r="A13" s="12" t="s">
        <v>137</v>
      </c>
      <c r="B13" s="2" t="s">
        <v>138</v>
      </c>
    </row>
    <row r="14" ht="60" customHeight="1" spans="1:2" x14ac:dyDescent="0.25">
      <c r="A14" s="12" t="s">
        <v>139</v>
      </c>
      <c r="B14" s="2" t="s">
        <v>140</v>
      </c>
    </row>
    <row r="15" ht="60" customHeight="1" spans="1:2" x14ac:dyDescent="0.25">
      <c r="A15" s="12" t="s">
        <v>141</v>
      </c>
      <c r="B15" s="2" t="s">
        <v>142</v>
      </c>
    </row>
    <row r="16" ht="18" customHeight="1" spans="1:2" x14ac:dyDescent="0.25">
      <c r="A16" s="12" t="s">
        <v>130</v>
      </c>
      <c r="B16" s="2" t="s">
        <v>143</v>
      </c>
    </row>
    <row r="17" ht="18" customHeight="1" spans="1:2" x14ac:dyDescent="0.25">
      <c r="A17" s="12" t="s">
        <v>76</v>
      </c>
      <c r="B17" s="2" t="s">
        <v>76</v>
      </c>
    </row>
    <row r="18" ht="18" customHeight="1" spans="1:2" x14ac:dyDescent="0.25">
      <c r="A18" s="12" t="s">
        <v>120</v>
      </c>
      <c r="B18" s="13" t="s">
        <v>144</v>
      </c>
    </row>
    <row r="19" ht="32" customHeight="1" spans="1:2" x14ac:dyDescent="0.25">
      <c r="A19" s="12" t="s">
        <v>145</v>
      </c>
      <c r="B19" s="2" t="s">
        <v>146</v>
      </c>
    </row>
    <row r="20" ht="60" customHeight="1" spans="1:2" x14ac:dyDescent="0.25">
      <c r="A20" s="12" t="s">
        <v>147</v>
      </c>
      <c r="B20" s="2" t="s">
        <v>148</v>
      </c>
    </row>
    <row r="21" ht="18" customHeight="1" spans="1:2" x14ac:dyDescent="0.25">
      <c r="A21" s="12" t="s">
        <v>76</v>
      </c>
      <c r="B21" s="2" t="s">
        <v>76</v>
      </c>
    </row>
    <row r="22" ht="18" customHeight="1" spans="1:2" x14ac:dyDescent="0.25">
      <c r="A22" s="12" t="s">
        <v>149</v>
      </c>
      <c r="B22" s="2" t="s">
        <v>150</v>
      </c>
    </row>
    <row r="23" ht="60" customHeight="1" spans="1:2" x14ac:dyDescent="0.25">
      <c r="A23" s="12" t="s">
        <v>21</v>
      </c>
      <c r="B23" s="2" t="s">
        <v>151</v>
      </c>
    </row>
    <row r="24" ht="18" customHeight="1" spans="1:2" x14ac:dyDescent="0.25">
      <c r="A24" s="12" t="s">
        <v>152</v>
      </c>
      <c r="B24" s="2" t="s">
        <v>153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 d'emploi</vt:lpstr>
      <vt:lpstr>Suivi VGP</vt:lpstr>
      <vt:lpstr>Référentiel VGP</vt:lpstr>
      <vt:lpstr>Sources</vt:lpstr>
    </vt:vector>
  </TitlesOfParts>
  <Company>Deralis Digital</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TraviXO Systems</dc:creator>
  <dc:title>Tableau de suivi des VGP</dc:title>
  <dc:subject/>
  <dc:description>Registre de suivi des vérifications générales périodiques, avec périodicités sourcées sur les arrêtés du 1er mars 2004 et du 5 mars 1993.</dc:description>
  <cp:keywords/>
  <cp:category/>
  <cp:lastModifiedBy>Unknown</cp:lastModifiedBy>
  <dcterms:created xsi:type="dcterms:W3CDTF">2026-08-21T09:07:21Z</dcterms:created>
  <dcterms:modified xsi:type="dcterms:W3CDTF">2026-08-21T09:07:21Z</dcterms:modified>
</cp:coreProperties>
</file>